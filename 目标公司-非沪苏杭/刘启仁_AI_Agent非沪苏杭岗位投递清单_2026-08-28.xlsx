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a1dd825b4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eb9b4d5860d4841"/>
    <x:sheet xmlns:r="http://schemas.openxmlformats.org/officeDocument/2006/relationships" name="先投清单" sheetId="2" r:id="Rb8ba405b7bd94af8"/>
    <x:sheet xmlns:r="http://schemas.openxmlformats.org/officeDocument/2006/relationships" name="岗位清单" sheetId="3" r:id="R300759832feb4ab1"/>
    <x:sheet xmlns:r="http://schemas.openxmlformats.org/officeDocument/2006/relationships" name="扩充新岗" sheetId="4" r:id="R35789074b0f54472"/>
    <x:sheet xmlns:r="http://schemas.openxmlformats.org/officeDocument/2006/relationships" name="风险暂缓" sheetId="5" r:id="R62990de2c06e4018"/>
    <x:sheet xmlns:r="http://schemas.openxmlformats.org/officeDocument/2006/relationships" name="投递记录" sheetId="6" r:id="R5d777029214a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2"/>
      <x:color rgb="FF17324D"/>
      <x:name val="Carlito"/>
    </x:font>
    <x:font>
      <x:b/>
      <x:sz val="11"/>
      <x:color rgb="FF087F8C"/>
      <x:name val="Carlito"/>
    </x:font>
    <x:font>
      <x:b/>
      <x:sz val="12"/>
      <x:color rgb="FF087F8C"/>
      <x:name val="Carlito"/>
    </x:font>
    <x:font>
      <x:i/>
      <x:sz val="11"/>
      <x:color rgb="FF8A4B08"/>
      <x:name val="Carlito"/>
    </x:font>
    <x:font>
      <x:b/>
      <x:sz val="9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11"/>
      <x:color rgb="FFFFFFFF"/>
      <x:name val="Carlito"/>
    </x:font>
    <x:font>
      <x:i/>
      <x:sz val="11"/>
      <x:color rgb="FF7B241C"/>
      <x:name val="Carlito"/>
    </x:font>
    <x:font>
      <x:i/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F"/>
      </x:patternFill>
    </x:fill>
    <x:fill>
      <x:patternFill patternType="solid">
        <x:fgColor rgb="FFFFF7E6"/>
      </x:patternFill>
    </x:fill>
    <x:fill>
      <x:patternFill patternType="solid">
        <x:fgColor rgb="FF2F6BFF"/>
      </x:patternFill>
    </x:fill>
    <x:fill>
      <x:patternFill patternType="solid">
        <x:fgColor rgb="FF087F8C"/>
      </x:patternFill>
    </x:fill>
    <x:fill>
      <x:patternFill patternType="solid">
        <x:fgColor rgb="FFFCE1DF"/>
      </x:patternFill>
    </x:fill>
    <x:fill>
      <x:patternFill patternType="solid">
        <x:fgColor rgb="FFA93226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087F8C"/>
      </x:font>
      <x:fill>
        <x:patternFill patternType="solid">
          <x:bgColor rgb="FFE8F7F5"/>
        </x:patternFill>
      </x:fill>
    </x:dxf>
    <x:dxf>
      <x:font>
        <x:b/>
        <x:color rgb="FF8A4B08"/>
      </x:font>
      <x:fill>
        <x:patternFill patternType="solid">
          <x:bgColor rgb="FFFFF1C2"/>
        </x:patternFill>
      </x:fill>
    </x:dxf>
    <x:dxf>
      <x:font>
        <x:b/>
        <x:color rgb="FFA93226"/>
      </x:font>
      <x:fill>
        <x:patternFill patternType="solid">
          <x:bgColor rgb="FFFCE1DF"/>
        </x:patternFill>
      </x:fill>
    </x:dxf>
    <x:dxf>
      <x:font>
        <x:b/>
        <x:color rgb="FFA93226"/>
      </x:font>
      <x:fill>
        <x:patternFill patternType="solid">
          <x:bgColor rgb="FFFCE1DF"/>
        </x:patternFill>
      </x:fill>
    </x:dxf>
    <x:dxf>
      <x:font>
        <x:b/>
        <x:color rgb="FF1B5E20"/>
      </x:font>
      <x:fill>
        <x:patternFill patternType="solid">
          <x:bgColor rgb="FFD8F3DC"/>
        </x:patternFill>
      </x:fill>
    </x:dxf>
    <x:dxf>
      <x:font>
        <x:b/>
        <x:color rgb="FF8A4B08"/>
      </x:font>
      <x:fill>
        <x:patternFill patternType="solid">
          <x:bgColor rgb="FFFFF1C2"/>
        </x:patternFill>
      </x:fill>
    </x:dxf>
    <x:dxf>
      <x:font>
        <x:color rgb="FF5E6B78"/>
      </x:font>
      <x:fill>
        <x:patternFill patternType="solid">
          <x:bgColor rgb="FFE5E7EB"/>
        </x:patternFill>
      </x:fill>
    </x:dxf>
    <x:dxf>
      <x:font>
        <x:b/>
        <x:color rgb="FF1B5E20"/>
      </x:font>
      <x:fill>
        <x:patternFill patternType="solid">
          <x:bgColor rgb="FFD8F3DC"/>
        </x:patternFill>
      </x:fill>
    </x:dxf>
    <x:dxf>
      <x:font>
        <x:b/>
        <x:color rgb="FF8A4B08"/>
      </x:font>
      <x:fill>
        <x:patternFill patternType="solid">
          <x:bgColor rgb="FFFFF1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614a500d8463d" /><Relationship Type="http://schemas.openxmlformats.org/officeDocument/2006/relationships/theme" Target="/xl/theme/theme1.xml" Id="R3f7d912683594b6d" /><Relationship Type="http://schemas.openxmlformats.org/officeDocument/2006/relationships/sharedStrings" Target="/xl/sharedStrings.xml" Id="R9043e23ece7b4354" /><Relationship Type="http://schemas.openxmlformats.org/officeDocument/2006/relationships/worksheet" Target="/xl/worksheets/sheet1.xml" Id="R6eb9b4d5860d4841" /><Relationship Type="http://schemas.openxmlformats.org/officeDocument/2006/relationships/worksheet" Target="/xl/worksheets/sheet2.xml" Id="Rb8ba405b7bd94af8" /><Relationship Type="http://schemas.openxmlformats.org/officeDocument/2006/relationships/worksheet" Target="/xl/worksheets/sheet3.xml" Id="R300759832feb4ab1" /><Relationship Type="http://schemas.openxmlformats.org/officeDocument/2006/relationships/worksheet" Target="/xl/worksheets/sheet4.xml" Id="R35789074b0f54472" /><Relationship Type="http://schemas.openxmlformats.org/officeDocument/2006/relationships/worksheet" Target="/xl/worksheets/sheet5.xml" Id="R62990de2c06e4018" /><Relationship Type="http://schemas.openxmlformats.org/officeDocument/2006/relationships/worksheet" Target="/xl/worksheets/sheet6.xml" Id="R5d777029214a481a" /></Relationships>
</file>

<file path=xl/tables/table1.xml><?xml version="1.0" encoding="utf-8"?>
<x:table xmlns:x="http://schemas.openxmlformats.org/spreadsheetml/2006/main" id="1" name="JobsTable" displayName="JobsTable" ref="A3:AF46" headerRowCount="1" totalsRowCount="0" totalsRowShown="0">
  <x:tableColumns count="32">
    <x:tableColumn id="1" name="ID"/>
    <x:tableColumn id="2" name="队列"/>
    <x:tableColumn id="3" name="优先级"/>
    <x:tableColumn id="4" name="当前状态"/>
    <x:tableColumn id="5" name="公司"/>
    <x:tableColumn id="6" name="部门/业务"/>
    <x:tableColumn id="7" name="岗位"/>
    <x:tableColumn id="8" name="城市"/>
    <x:tableColumn id="9" name="匹配分"/>
    <x:tableColumn id="10" name="练面价值"/>
    <x:tableColumn id="11" name="串档风险"/>
    <x:tableColumn id="12" name="薪资"/>
    <x:tableColumn id="13" name="WFH/办公方式"/>
    <x:tableColumn id="14" name="工时/加班"/>
    <x:tableColumn id="15" name="工作要求"/>
    <x:tableColumn id="16" name="你的匹配点"/>
    <x:tableColumn id="17" name="主要差距"/>
    <x:tableColumn id="18" name="投递方式"/>
    <x:tableColumn id="19" name="投递入口"/>
    <x:tableColumn id="20" name="来源/详情"/>
    <x:tableColumn id="21" name="内推/推荐码"/>
    <x:tableColumn id="22" name="信息等级"/>
    <x:tableColumn id="23" name="发布时间"/>
    <x:tableColumn id="24" name="核验日"/>
    <x:tableColumn id="25" name="下一步"/>
    <x:tableColumn id="26" name="投递日期"/>
    <x:tableColumn id="27" name="备注"/>
    <x:tableColumn id="28" name="Agent"/>
    <x:tableColumn id="29" name="RAG/Tool"/>
    <x:tableColumn id="30" name="后端/全栈"/>
    <x:tableColumn id="31" name="年限匹配"/>
    <x:tableColumn id="32" name="风险扣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kingTable" displayName="TrackingTable" ref="A4:N47" headerRowCount="1" totalsRowCount="0" totalsRowShown="0">
  <x:tableColumns count="14">
    <x:tableColumn id="1" name="ID"/>
    <x:tableColumn id="2" name="队列"/>
    <x:tableColumn id="3" name="公司"/>
    <x:tableColumn id="4" name="岗位"/>
    <x:tableColumn id="5" name="城市"/>
    <x:tableColumn id="6" name="投递日期"/>
    <x:tableColumn id="7" name="渠道"/>
    <x:tableColumn id="8" name="状态"/>
    <x:tableColumn id="9" name="面试轮次"/>
    <x:tableColumn id="10" name="结果/反馈"/>
    <x:tableColumn id="11" name="下次动作"/>
    <x:tableColumn id="12" name="跟进日期"/>
    <x:tableColumn id="13" name="简历版本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9bd080d059c40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d9299e07ec1940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刘启仁｜非沪苏杭 AI Agent 练面投递包</x:v>
      </x:c>
      <x:c r="B1" s="3" t="str">
        <x:v>刘启仁｜非沪苏杭 AI Agent 练面投递包</x:v>
      </x:c>
      <x:c r="C1" s="3" t="str">
        <x:v>刘启仁｜非沪苏杭 AI Agent 练面投递包</x:v>
      </x:c>
      <x:c r="D1" s="3" t="str">
        <x:v>刘启仁｜非沪苏杭 AI Agent 练面投递包</x:v>
      </x:c>
      <x:c r="E1" s="3" t="str">
        <x:v>刘启仁｜非沪苏杭 AI Agent 练面投递包</x:v>
      </x:c>
      <x:c r="F1" s="3" t="str">
        <x:v>刘启仁｜非沪苏杭 AI Agent 练面投递包</x:v>
      </x:c>
      <x:c r="G1" s="3" t="str">
        <x:v>刘启仁｜非沪苏杭 AI Agent 练面投递包</x:v>
      </x:c>
      <x:c r="H1" s="3" t="str">
        <x:v>刘启仁｜非沪苏杭 AI Agent 练面投递包</x:v>
      </x:c>
    </x:row>
    <x:row r="3">
      <x:c r="A3" s="6" t="str">
        <x:v>岗位发布城市严格排除：上海 / 苏州 / 杭州｜核验日：2026-08-28｜用途：优先练面，保留目标城市正式机会</x:v>
      </x:c>
      <x:c r="B3" s="6" t="str">
        <x:v>岗位发布城市严格排除：上海 / 苏州 / 杭州｜核验日：2026-08-28｜用途：优先练面，保留目标城市正式机会</x:v>
      </x:c>
      <x:c r="C3" s="6" t="str">
        <x:v>岗位发布城市严格排除：上海 / 苏州 / 杭州｜核验日：2026-08-28｜用途：优先练面，保留目标城市正式机会</x:v>
      </x:c>
      <x:c r="D3" s="6" t="str">
        <x:v>岗位发布城市严格排除：上海 / 苏州 / 杭州｜核验日：2026-08-28｜用途：优先练面，保留目标城市正式机会</x:v>
      </x:c>
      <x:c r="E3" s="6" t="str">
        <x:v>岗位发布城市严格排除：上海 / 苏州 / 杭州｜核验日：2026-08-28｜用途：优先练面，保留目标城市正式机会</x:v>
      </x:c>
      <x:c r="F3" s="6" t="str">
        <x:v>岗位发布城市严格排除：上海 / 苏州 / 杭州｜核验日：2026-08-28｜用途：优先练面，保留目标城市正式机会</x:v>
      </x:c>
      <x:c r="G3" s="6" t="str">
        <x:v>岗位发布城市严格排除：上海 / 苏州 / 杭州｜核验日：2026-08-28｜用途：优先练面，保留目标城市正式机会</x:v>
      </x:c>
      <x:c r="H3" s="6" t="str">
        <x:v>岗位发布城市严格排除：上海 / 苏州 / 杭州｜核验日：2026-08-28｜用途：优先练面，保留目标城市正式机会</x:v>
      </x:c>
    </x:row>
    <x:row r="5" ht="24" customHeight="1">
      <x:c r="A5" s="8" t="str">
        <x:v>怎么使用</x:v>
      </x:c>
      <x:c r="B5" s="8" t="str">
        <x:v>怎么使用</x:v>
      </x:c>
      <x:c r="C5" s="8" t="str">
        <x:v>怎么使用</x:v>
      </x:c>
      <x:c r="D5" s="8" t="str">
        <x:v>怎么使用</x:v>
      </x:c>
      <x:c r="E5" s="8" t="str">
        <x:v>怎么使用</x:v>
      </x:c>
      <x:c r="F5" s="8" t="str">
        <x:v>怎么使用</x:v>
      </x:c>
      <x:c r="G5" s="8" t="str">
        <x:v>怎么使用</x:v>
      </x:c>
      <x:c r="H5" s="8" t="str">
        <x:v>怎么使用</x:v>
      </x:c>
    </x:row>
    <x:row r="6" ht="34" customHeight="1">
      <x:c r="A6" s="11" t="str">
        <x:v>1</x:v>
      </x:c>
      <x:c r="B6" s="9" t="str">
        <x:v>先看“先投清单”：已排除高串档风险岗位，按匹配分排序。</x:v>
      </x:c>
      <x:c r="C6" s="9" t="str"/>
      <x:c r="D6" s="9" t="str"/>
      <x:c r="E6" s="9" t="str"/>
      <x:c r="F6" s="9" t="str"/>
      <x:c r="G6" s="9" t="str"/>
      <x:c r="H6" s="9" t="str"/>
    </x:row>
    <x:row r="7" ht="34" customHeight="1">
      <x:c r="A7" s="11" t="str">
        <x:v>2</x:v>
      </x:c>
      <x:c r="B7" s="9" t="str">
        <x:v>“扩充新岗”包含原新增城市和执行包补入的北京、深圳、成都、合肥、宁波岗位。</x:v>
      </x:c>
      <x:c r="C7" s="9" t="str"/>
      <x:c r="D7" s="9" t="str"/>
      <x:c r="E7" s="9" t="str"/>
      <x:c r="F7" s="9" t="str"/>
      <x:c r="G7" s="9" t="str"/>
      <x:c r="H7" s="9" t="str"/>
    </x:row>
    <x:row r="8" ht="34" customHeight="1">
      <x:c r="A8" s="11" t="str">
        <x:v>3</x:v>
      </x:c>
      <x:c r="B8" s="9" t="str">
        <x:v>“风险暂缓”保留字节/蚂蚁/高德/华为/小米/OPPO等岗，但默认不投，避免影响上海/苏州/杭州的正式申请。</x:v>
      </x:c>
      <x:c r="C8" s="9" t="str"/>
      <x:c r="D8" s="9" t="str"/>
      <x:c r="E8" s="9" t="str"/>
      <x:c r="F8" s="9" t="str"/>
      <x:c r="G8" s="9" t="str"/>
      <x:c r="H8" s="9" t="str"/>
    </x:row>
    <x:row r="9" ht="34" customHeight="1">
      <x:c r="A9" s="11" t="str">
        <x:v>4</x:v>
      </x:c>
      <x:c r="B9" s="9" t="str">
        <x:v>“投递记录”用于手工登记日期、渠道、状态、面试轮次和下次动作；下拉菜单已配置。</x:v>
      </x:c>
      <x:c r="C9" s="9" t="str"/>
      <x:c r="D9" s="9" t="str"/>
      <x:c r="E9" s="9" t="str"/>
      <x:c r="F9" s="9" t="str"/>
      <x:c r="G9" s="9" t="str"/>
      <x:c r="H9" s="9" t="str"/>
    </x:row>
    <x:row r="10" ht="34" customHeight="1">
      <x:c r="A10" s="11" t="str">
        <x:v>5</x:v>
      </x:c>
      <x:c r="B10" s="9" t="str">
        <x:v>岗位是否远程、工时和加班若没有公开证据，一律写“未披露”；面试时必须核验。</x:v>
      </x:c>
      <x:c r="C10" s="9" t="str"/>
      <x:c r="D10" s="9" t="str"/>
      <x:c r="E10" s="9" t="str"/>
      <x:c r="F10" s="9" t="str"/>
      <x:c r="G10" s="9" t="str"/>
      <x:c r="H10" s="9" t="str"/>
    </x:row>
    <x:row r="11" ht="34" customHeight="1">
      <x:c r="A11" s="11"/>
      <x:c r="B11" s="9"/>
      <x:c r="C11" s="9"/>
      <x:c r="D11" s="9"/>
      <x:c r="E11" s="9"/>
      <x:c r="F11" s="9"/>
      <x:c r="G11" s="9"/>
      <x:c r="H11" s="9"/>
    </x:row>
    <x:row r="12" ht="34" customHeight="1">
      <x:c r="A12" s="12" t="str">
        <x:v>投递执行包同步结果</x:v>
      </x:c>
      <x:c r="B12" s="10" t="str">
        <x:v>投递执行包同步结果</x:v>
      </x:c>
      <x:c r="C12" s="10" t="str">
        <x:v>投递执行包同步结果</x:v>
      </x:c>
      <x:c r="D12" s="10" t="str">
        <x:v>投递执行包同步结果</x:v>
      </x:c>
      <x:c r="E12" s="10" t="str">
        <x:v>投递执行包同步结果</x:v>
      </x:c>
      <x:c r="F12" s="10" t="str">
        <x:v>投递执行包同步结果</x:v>
      </x:c>
      <x:c r="G12" s="10" t="str">
        <x:v>投递执行包同步结果</x:v>
      </x:c>
      <x:c r="H12" s="10" t="str">
        <x:v>投递执行包同步结果</x:v>
      </x:c>
    </x:row>
    <x:row r="13" ht="34" customHeight="1">
      <x:c r="A13" s="11" t="str">
        <x:v>已投递 15</x:v>
      </x:c>
      <x:c r="B13" s="9" t="str">
        <x:v>荔枝、京东、SuperMap、中科类脑、南京运梦、LingoAce、北控水务、光庭、重庆青竹，以及6个智联新增岗位。</x:v>
      </x:c>
      <x:c r="C13" s="9" t="str"/>
      <x:c r="D13" s="9" t="str"/>
      <x:c r="E13" s="9" t="str"/>
      <x:c r="F13" s="9" t="str"/>
      <x:c r="G13" s="9" t="str"/>
      <x:c r="H13" s="9" t="str"/>
    </x:row>
    <x:row r="14" ht="34" customHeight="1">
      <x:c r="A14" s="11" t="str">
        <x:v>待继续/确认 4</x:v>
      </x:c>
      <x:c r="B14" s="9" t="str">
        <x:v>TD SYNNEX需继续填写；Morgan Philips和2个猎聘岗位未获得可验证成功回执。</x:v>
      </x:c>
      <x:c r="C14" s="9" t="str"/>
      <x:c r="D14" s="9" t="str"/>
      <x:c r="E14" s="9" t="str"/>
      <x:c r="F14" s="9" t="str"/>
      <x:c r="G14" s="9" t="str"/>
      <x:c r="H14" s="9" t="str"/>
    </x:row>
    <x:row r="15" ht="34" customHeight="1">
      <x:c r="A15" s="11" t="str">
        <x:v>待本人手工 2</x:v>
      </x:c>
      <x:c r="B15" s="9" t="str">
        <x:v>百度 J101300 / J103882 因集成浏览器无法打开，未代替用户记录为已投递。</x:v>
      </x:c>
      <x:c r="C15" s="9" t="str"/>
      <x:c r="D15" s="9" t="str"/>
      <x:c r="E15" s="9" t="str"/>
      <x:c r="F15" s="9" t="str"/>
      <x:c r="G15" s="9" t="str"/>
      <x:c r="H15" s="9" t="str"/>
    </x:row>
    <x:row r="16" ht="34" customHeight="1">
      <x:c r="A16" s="11" t="str">
        <x:v>暂停招聘 1</x:v>
      </x:c>
      <x:c r="B16" s="9" t="str">
        <x:v>绿联 UGREEN 岗位已暂停，停止投递但保留岗位要求供复习。</x:v>
      </x:c>
      <x:c r="C16" s="9" t="str"/>
      <x:c r="D16" s="9" t="str"/>
      <x:c r="E16" s="9" t="str"/>
      <x:c r="F16" s="9" t="str"/>
      <x:c r="G16" s="9" t="str"/>
      <x:c r="H16" s="9" t="str"/>
    </x:row>
    <x:row r="17" ht="34" customHeight="1">
      <x:c r="A17" s="11"/>
      <x:c r="B17" s="9"/>
      <x:c r="C17" s="9"/>
      <x:c r="D17" s="9"/>
      <x:c r="E17" s="9"/>
      <x:c r="F17" s="9"/>
      <x:c r="G17" s="9"/>
      <x:c r="H17" s="9"/>
    </x:row>
    <x:row r="18" ht="34" customHeight="1">
      <x:c r="A18" s="12" t="str">
        <x:v>风险口径</x:v>
      </x:c>
      <x:c r="B18" s="10" t="str">
        <x:v>风险口径</x:v>
      </x:c>
      <x:c r="C18" s="10" t="str">
        <x:v>风险口径</x:v>
      </x:c>
      <x:c r="D18" s="10" t="str">
        <x:v>风险口径</x:v>
      </x:c>
      <x:c r="E18" s="10" t="str">
        <x:v>风险口径</x:v>
      </x:c>
      <x:c r="F18" s="10" t="str">
        <x:v>风险口径</x:v>
      </x:c>
      <x:c r="G18" s="10" t="str">
        <x:v>风险口径</x:v>
      </x:c>
      <x:c r="H18" s="10" t="str">
        <x:v>风险口径</x:v>
      </x:c>
    </x:row>
    <x:row r="19" ht="34" customHeight="1">
      <x:c r="A19" s="11" t="str">
        <x:v>低</x:v>
      </x:c>
      <x:c r="B19" s="9" t="str">
        <x:v>本岗地点不含目标三城，且未发现明显同公司近似目标城岗位；适合练面。</x:v>
      </x:c>
      <x:c r="C19" s="9" t="str"/>
      <x:c r="D19" s="9" t="str"/>
      <x:c r="E19" s="9" t="str"/>
      <x:c r="F19" s="9" t="str"/>
      <x:c r="G19" s="9" t="str"/>
      <x:c r="H19" s="9" t="str"/>
    </x:row>
    <x:row r="20" ht="34" customHeight="1">
      <x:c r="A20" s="11" t="str">
        <x:v>中</x:v>
      </x:c>
      <x:c r="B20" s="9" t="str">
        <x:v>同公司在目标城市有研发活动或候选人体系可能共享；不等于一定影响。</x:v>
      </x:c>
      <x:c r="C20" s="9" t="str"/>
      <x:c r="D20" s="9" t="str"/>
      <x:c r="E20" s="9" t="str"/>
      <x:c r="F20" s="9" t="str"/>
      <x:c r="G20" s="9" t="str"/>
      <x:c r="H20" s="9" t="str"/>
    </x:row>
    <x:row r="21" ht="34" customHeight="1">
      <x:c r="A21" s="11" t="str">
        <x:v>高</x:v>
      </x:c>
      <x:c r="B21" s="9" t="str">
        <x:v>已知目标城存在近似岗位或公司统一候选人系统；默认HOLD。</x:v>
      </x:c>
      <x:c r="C21" s="9" t="str"/>
      <x:c r="D21" s="9" t="str"/>
      <x:c r="E21" s="9" t="str"/>
      <x:c r="F21" s="9" t="str"/>
      <x:c r="G21" s="9" t="str"/>
      <x:c r="H21" s="9" t="str"/>
    </x:row>
    <x:row r="22" ht="34" customHeight="1">
      <x:c r="A22" s="11" t="str">
        <x:v>薪资</x:v>
      </x:c>
      <x:c r="B22" s="9" t="str">
        <x:v>只抄公开值，不估算未披露薪资；奖金、股票和试用期折扣未纳入。</x:v>
      </x:c>
      <x:c r="C22" s="9" t="str"/>
      <x:c r="D22" s="9" t="str"/>
      <x:c r="E22" s="9" t="str"/>
      <x:c r="F22" s="9" t="str"/>
      <x:c r="G22" s="9" t="str"/>
      <x:c r="H22" s="9" t="str"/>
    </x:row>
    <x:row r="23" ht="34" customHeight="1">
      <x:c r="A23" s="11" t="str">
        <x:v>内推</x:v>
      </x:c>
      <x:c r="B23" s="9" t="str">
        <x:v>第三方推荐码必须二次确认；不要购买付费内推。</x:v>
      </x:c>
      <x:c r="C23" s="9" t="str"/>
      <x:c r="D23" s="9" t="str"/>
      <x:c r="E23" s="9" t="str"/>
      <x:c r="F23" s="9" t="str"/>
      <x:c r="G23" s="9" t="str"/>
      <x:c r="H23" s="9" t="str"/>
    </x:row>
  </x:sheetData>
  <x:mergeCells>
    <x:mergeCell ref="A1:H1"/>
    <x:mergeCell ref="A3:H3"/>
    <x:mergeCell ref="A5:H5"/>
    <x:mergeCell ref="B6:H6"/>
    <x:mergeCell ref="B7:H7"/>
    <x:mergeCell ref="B8:H8"/>
    <x:mergeCell ref="B9:H9"/>
    <x:mergeCell ref="B10:H10"/>
    <x:mergeCell ref="A12:H12"/>
    <x:mergeCell ref="B13:H13"/>
    <x:mergeCell ref="B14:H14"/>
    <x:mergeCell ref="B15:H15"/>
    <x:mergeCell ref="B16:H16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" hidden="0" customWidth="1"/>
    <x:col min="3" max="3" width="10" hidden="0" customWidth="1"/>
    <x:col min="4" max="4" width="11" hidden="0" customWidth="1"/>
    <x:col min="5" max="5" width="20" hidden="0" customWidth="1"/>
    <x:col min="6" max="6" width="31" hidden="0" customWidth="1"/>
    <x:col min="7" max="7" width="18" hidden="0" customWidth="1"/>
    <x:col min="8" max="8" width="19" hidden="0" customWidth="1"/>
    <x:col min="9" max="9" width="19" hidden="0" customWidth="1"/>
    <x:col min="10" max="10" width="26" hidden="0" customWidth="1"/>
    <x:col min="11" max="11" width="40" hidden="0" customWidth="1"/>
    <x:col min="12" max="12" width="17" hidden="0" customWidth="1"/>
    <x:col min="13" max="13" width="42" hidden="0" customWidth="1"/>
    <x:col min="14" max="14" width="38" hidden="0" customWidth="1"/>
  </x:cols>
  <x:sheetData>
    <x:row r="1" ht="34" customHeight="1">
      <x:c r="A1" s="3" t="str">
        <x:v>先投清单｜优先练面、不含高串档风险</x:v>
      </x:c>
      <x:c r="B1" s="3" t="str">
        <x:v>先投清单｜优先练面、不含高串档风险</x:v>
      </x:c>
      <x:c r="C1" s="3" t="str">
        <x:v>先投清单｜优先练面、不含高串档风险</x:v>
      </x:c>
      <x:c r="D1" s="3" t="str">
        <x:v>先投清单｜优先练面、不含高串档风险</x:v>
      </x:c>
      <x:c r="E1" s="3" t="str">
        <x:v>先投清单｜优先练面、不含高串档风险</x:v>
      </x:c>
      <x:c r="F1" s="3" t="str">
        <x:v>先投清单｜优先练面、不含高串档风险</x:v>
      </x:c>
      <x:c r="G1" s="3" t="str">
        <x:v>先投清单｜优先练面、不含高串档风险</x:v>
      </x:c>
      <x:c r="H1" s="3" t="str">
        <x:v>先投清单｜优先练面、不含高串档风险</x:v>
      </x:c>
      <x:c r="I1" s="3" t="str">
        <x:v>先投清单｜优先练面、不含高串档风险</x:v>
      </x:c>
      <x:c r="J1" s="3" t="str">
        <x:v>先投清单｜优先练面、不含高串档风险</x:v>
      </x:c>
      <x:c r="K1" s="3" t="str">
        <x:v>先投清单｜优先练面、不含高串档风险</x:v>
      </x:c>
      <x:c r="L1" s="3" t="str">
        <x:v>先投清单｜优先练面、不含高串档风险</x:v>
      </x:c>
      <x:c r="M1" s="3" t="str">
        <x:v>先投清单｜优先练面、不含高串档风险</x:v>
      </x:c>
      <x:c r="N1" s="3" t="str">
        <x:v>先投清单｜优先练面、不含高串档风险</x:v>
      </x:c>
    </x:row>
    <x:row r="3">
      <x:c r="A3" s="27" t="str">
        <x:v>排名</x:v>
      </x:c>
      <x:c r="B3" s="27" t="str">
        <x:v>优先级</x:v>
      </x:c>
      <x:c r="C3" s="27" t="str">
        <x:v>匹配分</x:v>
      </x:c>
      <x:c r="D3" s="27" t="str">
        <x:v>城市</x:v>
      </x:c>
      <x:c r="E3" s="27" t="str">
        <x:v>公司</x:v>
      </x:c>
      <x:c r="F3" s="27" t="str">
        <x:v>岗位</x:v>
      </x:c>
      <x:c r="G3" s="27" t="str">
        <x:v>当前状态</x:v>
      </x:c>
      <x:c r="H3" s="27" t="str">
        <x:v>薪资</x:v>
      </x:c>
      <x:c r="I3" s="27" t="str">
        <x:v>WFH/办公</x:v>
      </x:c>
      <x:c r="J3" s="27" t="str">
        <x:v>工时/加班</x:v>
      </x:c>
      <x:c r="K3" s="27" t="str">
        <x:v>主要差距</x:v>
      </x:c>
      <x:c r="L3" s="27" t="str">
        <x:v>投递方式</x:v>
      </x:c>
      <x:c r="M3" s="27" t="str">
        <x:v>投递入口</x:v>
      </x:c>
      <x:c r="N3" s="27" t="str">
        <x:v>下一步</x:v>
      </x:c>
    </x:row>
    <x:row r="4" ht="58" customHeight="1">
      <x:c r="A4" s="9" t="n">
        <x:v>1</x:v>
      </x:c>
      <x:c r="B4" s="9" t="str">
        <x:f>'岗位清单'!C4</x:f>
        <x:v>S</x:v>
      </x:c>
      <x:c r="C4" s="9" t="n">
        <x:f>'岗位清单'!I4</x:f>
        <x:v>94</x:v>
      </x:c>
      <x:c r="D4" s="9" t="str">
        <x:f>'岗位清单'!H4</x:f>
        <x:v>北京</x:v>
      </x:c>
      <x:c r="E4" s="9" t="str">
        <x:f>'岗位清单'!E4</x:f>
        <x:v>北控水务</x:v>
      </x:c>
      <x:c r="F4" s="9" t="str">
        <x:f>'岗位清单'!G4</x:f>
        <x:v>大模型与智能体开发工程师（J14604）</x:v>
      </x:c>
      <x:c r="G4" s="9" t="str">
        <x:f>'岗位清单'!D4</x:f>
        <x:v>已投递</x:v>
      </x:c>
      <x:c r="H4" s="9" t="str">
        <x:f>'岗位清单'!L4</x:f>
        <x:v>30–50K/月</x:v>
      </x:c>
      <x:c r="I4" s="9" t="str">
        <x:f>'岗位清单'!M4</x:f>
        <x:v>未披露</x:v>
      </x:c>
      <x:c r="J4" s="9" t="str">
        <x:f>'岗位清单'!N4</x:f>
        <x:v>未披露；加班情况需面试核验</x:v>
      </x:c>
      <x:c r="K4" s="9" t="str">
        <x:f>'岗位清单'!Q4</x:f>
        <x:v>补GraphRAG/本体论；核验招聘平台岗位是否仍开放。</x:v>
      </x:c>
      <x:c r="L4" s="9" t="str">
        <x:f>'岗位清单'!R4</x:f>
        <x:v>智联招聘</x:v>
      </x:c>
      <x:c r="M4" s="9" t="str">
        <x:f>'岗位清单'!S4</x:f>
        <x:v>https://m.zhaopin.com/jobs/CC306391710J40825077707.htm</x:v>
      </x:c>
      <x:c r="N4" s="9" t="str">
        <x:f>'岗位清单'!Y4</x:f>
        <x:v>等待回执；3–5个工作日后跟进</x:v>
      </x:c>
    </x:row>
    <x:row r="5" ht="58" customHeight="1">
      <x:c r="A5" s="9" t="n">
        <x:v>2</x:v>
      </x:c>
      <x:c r="B5" s="9" t="str">
        <x:f>'岗位清单'!C5</x:f>
        <x:v>S</x:v>
      </x:c>
      <x:c r="C5" s="9" t="n">
        <x:f>'岗位清单'!I5</x:f>
        <x:v>94</x:v>
      </x:c>
      <x:c r="D5" s="9" t="str">
        <x:f>'岗位清单'!H5</x:f>
        <x:v>成都</x:v>
      </x:c>
      <x:c r="E5" s="9" t="str">
        <x:f>'岗位清单'!E5</x:f>
        <x:v>超图软件 SuperMap</x:v>
      </x:c>
      <x:c r="F5" s="9" t="str">
        <x:f>'岗位清单'!G5</x:f>
        <x:v>AI算法工程师（实际为Agent全栈）</x:v>
      </x:c>
      <x:c r="G5" s="9" t="str">
        <x:f>'岗位清单'!D5</x:f>
        <x:v>已投递</x:v>
      </x:c>
      <x:c r="H5" s="9" t="str">
        <x:f>'岗位清单'!L5</x:f>
        <x:v>未披露</x:v>
      </x:c>
      <x:c r="I5" s="9" t="str">
        <x:f>'岗位清单'!M5</x:f>
        <x:v>未披露</x:v>
      </x:c>
      <x:c r="J5" s="9" t="str">
        <x:f>'岗位清单'!N5</x:f>
        <x:v>未披露；加班情况需面试核验</x:v>
      </x:c>
      <x:c r="K5" s="9" t="str">
        <x:f>'岗位清单'!Q5</x:f>
        <x:v>补FastAPI/Next.js作品；邮件中突出Agent Runtime而非传统算法。</x:v>
      </x:c>
      <x:c r="L5" s="9" t="str">
        <x:f>'岗位清单'!R5</x:f>
        <x:v>邮件直投</x:v>
      </x:c>
      <x:c r="M5" s="9" t="str">
        <x:f>'岗位清单'!S5</x:f>
        <x:v>mailto:zhaopin@supermap.com</x:v>
      </x:c>
      <x:c r="N5" s="9" t="str">
        <x:f>'岗位清单'!Y5</x:f>
        <x:v>保留发件记录；5个工作日后跟进</x:v>
      </x:c>
    </x:row>
    <x:row r="6" ht="58" customHeight="1">
      <x:c r="A6" s="9" t="n">
        <x:v>3</x:v>
      </x:c>
      <x:c r="B6" s="9" t="str">
        <x:f>'岗位清单'!C6</x:f>
        <x:v>S</x:v>
      </x:c>
      <x:c r="C6" s="9" t="n">
        <x:f>'岗位清单'!I6</x:f>
        <x:v>94</x:v>
      </x:c>
      <x:c r="D6" s="9" t="str">
        <x:f>'岗位清单'!H6</x:f>
        <x:v>成都</x:v>
      </x:c>
      <x:c r="E6" s="9" t="str">
        <x:f>'岗位清单'!E6</x:f>
        <x:v>TD SYNNEX</x:v>
      </x:c>
      <x:c r="F6" s="9" t="str">
        <x:f>'岗位清单'!G6</x:f>
        <x:v>Software Engineer / AI应用开发工程师</x:v>
      </x:c>
      <x:c r="G6" s="9" t="str">
        <x:f>'岗位清单'!D6</x:f>
        <x:v>待本人继续</x:v>
      </x:c>
      <x:c r="H6" s="9" t="str">
        <x:f>'岗位清单'!L6</x:f>
        <x:v>未披露</x:v>
      </x:c>
      <x:c r="I6" s="9" t="str">
        <x:f>'岗位清单'!M6</x:f>
        <x:v>未披露</x:v>
      </x:c>
      <x:c r="J6" s="9" t="str">
        <x:f>'岗位清单'!N6</x:f>
        <x:v>未披露；加班情况需面试核验</x:v>
      </x:c>
      <x:c r="K6" s="9" t="str">
        <x:f>'岗位清单'!Q6</x:f>
        <x:v>JD含LoRA/SFT和指导初级成员；准备技术带教与模型微调最小案例。</x:v>
      </x:c>
      <x:c r="L6" s="9" t="str">
        <x:f>'岗位清单'!R6</x:f>
        <x:v>Workday官网</x:v>
      </x:c>
      <x:c r="M6" s="9" t="str">
        <x:f>'岗位清单'!S6</x:f>
        <x:v>https://synnex.wd5.myworkdayjobs.com/en-US/tdsynnexcareers/job/Software-Engineer_R48648</x:v>
      </x:c>
      <x:c r="N6" s="9" t="str">
        <x:f>'岗位清单'!Y6</x:f>
        <x:v>本人继续完成Workday剩余字段并提交</x:v>
      </x:c>
    </x:row>
    <x:row r="7" ht="58" customHeight="1">
      <x:c r="A7" s="9" t="n">
        <x:v>4</x:v>
      </x:c>
      <x:c r="B7" s="9" t="str">
        <x:f>'岗位清单'!C7</x:f>
        <x:v>S</x:v>
      </x:c>
      <x:c r="C7" s="9" t="n">
        <x:f>'岗位清单'!I7</x:f>
        <x:v>94</x:v>
      </x:c>
      <x:c r="D7" s="9" t="str">
        <x:f>'岗位清单'!H7</x:f>
        <x:v>广州</x:v>
      </x:c>
      <x:c r="E7" s="9" t="str">
        <x:f>'岗位清单'!E7</x:f>
        <x:v>荔枝集团 LIZHI</x:v>
      </x:c>
      <x:c r="F7" s="9" t="str">
        <x:f>'岗位清单'!G7</x:f>
        <x:v>大模型应用工程师</x:v>
      </x:c>
      <x:c r="G7" s="9" t="str">
        <x:f>'岗位清单'!D7</x:f>
        <x:v>已投递</x:v>
      </x:c>
      <x:c r="H7" s="9" t="str">
        <x:f>'岗位清单'!L7</x:f>
        <x:v>未披露</x:v>
      </x:c>
      <x:c r="I7" s="9" t="str">
        <x:f>'岗位清单'!M7</x:f>
        <x:v>未披露</x:v>
      </x:c>
      <x:c r="J7" s="9" t="str">
        <x:f>'岗位清单'!N7</x:f>
        <x:v>未披露；加班情况需面试核验</x:v>
      </x:c>
      <x:c r="K7" s="9" t="str">
        <x:f>'岗位清单'!Q7</x:f>
        <x:v>JD提到模型部署/微调/低代码平台；需准备Python生产代码与微调边界。</x:v>
      </x:c>
      <x:c r="L7" s="9" t="str">
        <x:f>'岗位清单'!R7</x:f>
        <x:v>飞书招聘官网；亦可邮件</x:v>
      </x:c>
      <x:c r="M7" s="9" t="str">
        <x:f>'岗位清单'!S7</x:f>
        <x:v>https://lizhi2021.jobs.feishu.cn/index/resume/7576911295640095018/apply</x:v>
      </x:c>
      <x:c r="N7" s="9" t="str">
        <x:f>'岗位清单'!Y7</x:f>
        <x:v>等待回执；准备广州岗位面试</x:v>
      </x:c>
    </x:row>
    <x:row r="8" ht="58" customHeight="1">
      <x:c r="A8" s="9" t="n">
        <x:v>5</x:v>
      </x:c>
      <x:c r="B8" s="9" t="str">
        <x:f>'岗位清单'!C8</x:f>
        <x:v>S</x:v>
      </x:c>
      <x:c r="C8" s="9" t="n">
        <x:f>'岗位清单'!I8</x:f>
        <x:v>92</x:v>
      </x:c>
      <x:c r="D8" s="9" t="str">
        <x:f>'岗位清单'!H8</x:f>
        <x:v>合肥</x:v>
      </x:c>
      <x:c r="E8" s="9" t="str">
        <x:f>'岗位清单'!E8</x:f>
        <x:v>合肥中科类脑</x:v>
      </x:c>
      <x:c r="F8" s="9" t="str">
        <x:f>'岗位清单'!G8</x:f>
        <x:v>算法工程师（Agent）</x:v>
      </x:c>
      <x:c r="G8" s="9" t="str">
        <x:f>'岗位清单'!D8</x:f>
        <x:v>已投递</x:v>
      </x:c>
      <x:c r="H8" s="9" t="str">
        <x:f>'岗位清单'!L8</x:f>
        <x:v>面议</x:v>
      </x:c>
      <x:c r="I8" s="9" t="str">
        <x:f>'岗位清单'!M8</x:f>
        <x:v>未披露</x:v>
      </x:c>
      <x:c r="J8" s="9" t="str">
        <x:f>'岗位清单'!N8</x:f>
        <x:v>未披露；加班情况需面试核验</x:v>
      </x:c>
      <x:c r="K8" s="9" t="str">
        <x:f>'岗位清单'!Q8</x:f>
        <x:v>岗位称算法工程师但JD偏工程；需核验是否要求论文/训练经验及能源出差。</x:v>
      </x:c>
      <x:c r="L8" s="9" t="str">
        <x:f>'岗位清单'!R8</x:f>
        <x:v>邮件直投</x:v>
      </x:c>
      <x:c r="M8" s="9" t="str">
        <x:f>'岗位清单'!S8</x:f>
        <x:v>mailto:hr@leinao.ai</x:v>
      </x:c>
      <x:c r="N8" s="9" t="str">
        <x:f>'岗位清单'!Y8</x:f>
        <x:v>5个工作日后跟进</x:v>
      </x:c>
    </x:row>
    <x:row r="9" ht="58" customHeight="1">
      <x:c r="A9" s="9" t="n">
        <x:v>6</x:v>
      </x:c>
      <x:c r="B9" s="9" t="str">
        <x:f>'岗位清单'!C9</x:f>
        <x:v>S</x:v>
      </x:c>
      <x:c r="C9" s="9" t="n">
        <x:f>'岗位清单'!I9</x:f>
        <x:v>92</x:v>
      </x:c>
      <x:c r="D9" s="9" t="str">
        <x:f>'岗位清单'!H9</x:f>
        <x:v>南京</x:v>
      </x:c>
      <x:c r="E9" s="9" t="str">
        <x:f>'岗位清单'!E9</x:f>
        <x:v>南京运梦科技</x:v>
      </x:c>
      <x:c r="F9" s="9" t="str">
        <x:f>'岗位清单'!G9</x:f>
        <x:v>Agent全栈开发工程师</x:v>
      </x:c>
      <x:c r="G9" s="9" t="str">
        <x:f>'岗位清单'!D9</x:f>
        <x:v>已投递</x:v>
      </x:c>
      <x:c r="H9" s="9" t="str">
        <x:f>'岗位清单'!L9</x:f>
        <x:v>未披露</x:v>
      </x:c>
      <x:c r="I9" s="9" t="str">
        <x:f>'岗位清单'!M9</x:f>
        <x:v>未披露</x:v>
      </x:c>
      <x:c r="J9" s="9" t="str">
        <x:f>'岗位清单'!N9</x:f>
        <x:v>未披露；加班情况需面试核验</x:v>
      </x:c>
      <x:c r="K9" s="9" t="str">
        <x:f>'岗位清单'!Q9</x:f>
        <x:v>公司规模与HC稳定性需核验；准备Dify/LangGraph框架取舍。</x:v>
      </x:c>
      <x:c r="L9" s="9" t="str">
        <x:f>'岗位清单'!R9</x:f>
        <x:v>邮件直投</x:v>
      </x:c>
      <x:c r="M9" s="9" t="str">
        <x:f>'岗位清单'!S9</x:f>
        <x:v>mailto:yunmeng_tech@163.com</x:v>
      </x:c>
      <x:c r="N9" s="9" t="str">
        <x:f>'岗位清单'!Y9</x:f>
        <x:v>5个工作日后跟进</x:v>
      </x:c>
    </x:row>
    <x:row r="10" ht="58" customHeight="1">
      <x:c r="A10" s="9" t="n">
        <x:v>7</x:v>
      </x:c>
      <x:c r="B10" s="9" t="str">
        <x:f>'岗位清单'!C10</x:f>
        <x:v>S</x:v>
      </x:c>
      <x:c r="C10" s="9" t="n">
        <x:f>'岗位清单'!I10</x:f>
        <x:v>91</x:v>
      </x:c>
      <x:c r="D10" s="9" t="str">
        <x:f>'岗位清单'!H10</x:f>
        <x:v>深圳</x:v>
      </x:c>
      <x:c r="E10" s="9" t="str">
        <x:f>'岗位清单'!E10</x:f>
        <x:v>Morgan Philips代招</x:v>
      </x:c>
      <x:c r="F10" s="9" t="str">
        <x:f>'岗位清单'!G10</x:f>
        <x:v>AI大模型应用工程师（RAG与智能体）</x:v>
      </x:c>
      <x:c r="G10" s="9" t="str">
        <x:f>'岗位清单'!D10</x:f>
        <x:v>待本人确认</x:v>
      </x:c>
      <x:c r="H10" s="9" t="str">
        <x:f>'岗位清单'!L10</x:f>
        <x:v>未披露</x:v>
      </x:c>
      <x:c r="I10" s="9" t="str">
        <x:f>'岗位清单'!M10</x:f>
        <x:v>未披露</x:v>
      </x:c>
      <x:c r="J10" s="9" t="str">
        <x:f>'岗位清单'!N10</x:f>
        <x:v>未披露；加班情况需面试核验</x:v>
      </x:c>
      <x:c r="K10" s="9" t="str">
        <x:f>'岗位清单'!Q10</x:f>
        <x:v>客户与薪资未披露；先问用工主体、级别、驻场和目标城市是否有同客户岗。</x:v>
      </x:c>
      <x:c r="L10" s="9" t="str">
        <x:f>'岗位清单'!R10</x:f>
        <x:v>猎头官网</x:v>
      </x:c>
      <x:c r="M10" s="9" t="str">
        <x:f>'岗位清单'!S10</x:f>
        <x:v>https://jobs.morganphilips.cn/zh-cn/ai%E5%A4%A7%E6%A8%A1%E5%9E%8B%E5%BA%94%E7%94%A8%E5%B7%A5%E7%A8%8B%E5%B8%88-rag%E4%B8%8E%E6%99%BA%E8%83%BD%E4%BD%93%E6%96%B9%E5%90%91-shenzhen-153501/</x:v>
      </x:c>
      <x:c r="N10" s="9" t="str">
        <x:f>'岗位清单'!Y10</x:f>
        <x:v>本人打开页面确认记录；必要时再点一次提交</x:v>
      </x:c>
    </x:row>
    <x:row r="11" ht="58" customHeight="1">
      <x:c r="A11" s="9" t="n">
        <x:v>8</x:v>
      </x:c>
      <x:c r="B11" s="9" t="str">
        <x:f>'岗位清单'!C11</x:f>
        <x:v>S</x:v>
      </x:c>
      <x:c r="C11" s="9" t="n">
        <x:f>'岗位清单'!I11</x:f>
        <x:v>91</x:v>
      </x:c>
      <x:c r="D11" s="9" t="str">
        <x:f>'岗位清单'!H11</x:f>
        <x:v>深圳</x:v>
      </x:c>
      <x:c r="E11" s="9" t="str">
        <x:f>'岗位清单'!E11</x:f>
        <x:v>绿联科技 UGREEN</x:v>
      </x:c>
      <x:c r="F11" s="9" t="str">
        <x:f>'岗位清单'!G11</x:f>
        <x:v>AI Agent前端开发工程师</x:v>
      </x:c>
      <x:c r="G11" s="9" t="str">
        <x:f>'岗位清单'!D11</x:f>
        <x:v>暂停招聘</x:v>
      </x:c>
      <x:c r="H11" s="9" t="str">
        <x:f>'岗位清单'!L11</x:f>
        <x:v>20–35K × 14薪</x:v>
      </x:c>
      <x:c r="I11" s="9" t="str">
        <x:f>'岗位清单'!M11</x:f>
        <x:v>未披露</x:v>
      </x:c>
      <x:c r="J11" s="9" t="str">
        <x:f>'岗位清单'!N11</x:f>
        <x:v>未披露；加班情况需面试核验</x:v>
      </x:c>
      <x:c r="K11" s="9" t="str">
        <x:f>'岗位清单'!Q11</x:f>
        <x:v>岗位名偏前端；确认Agent核心/后端占比及年限倒挂。</x:v>
      </x:c>
      <x:c r="L11" s="9" t="str">
        <x:f>'岗位清单'!R11</x:f>
        <x:v>猎聘</x:v>
      </x:c>
      <x:c r="M11" s="9" t="str">
        <x:f>'岗位清单'!S11</x:f>
        <x:v>https://www.liepin.com/job/1983680297.shtml</x:v>
      </x:c>
      <x:c r="N11" s="9" t="str">
        <x:f>'岗位清单'!Y11</x:f>
        <x:v>停止投递；保留岗位画像用于复习</x:v>
      </x:c>
    </x:row>
    <x:row r="12" ht="58" customHeight="1">
      <x:c r="A12" s="9" t="n">
        <x:v>9</x:v>
      </x:c>
      <x:c r="B12" s="9" t="str">
        <x:f>'岗位清单'!C12</x:f>
        <x:v>S</x:v>
      </x:c>
      <x:c r="C12" s="9" t="n">
        <x:f>'岗位清单'!I12</x:f>
        <x:v>90</x:v>
      </x:c>
      <x:c r="D12" s="9" t="str">
        <x:f>'岗位清单'!H12</x:f>
        <x:v>北京</x:v>
      </x:c>
      <x:c r="E12" s="9" t="str">
        <x:f>'岗位清单'!E12</x:f>
        <x:v>京东</x:v>
      </x:c>
      <x:c r="F12" s="9" t="str">
        <x:f>'岗位清单'!G12</x:f>
        <x:v>大模型应用算法/开发专家（Agent方向）</x:v>
      </x:c>
      <x:c r="G12" s="9" t="str">
        <x:f>'岗位清单'!D12</x:f>
        <x:v>已投递</x:v>
      </x:c>
      <x:c r="H12" s="9" t="str">
        <x:f>'岗位清单'!L12</x:f>
        <x:v>未披露</x:v>
      </x:c>
      <x:c r="I12" s="9" t="str">
        <x:f>'岗位清单'!M12</x:f>
        <x:v>未披露</x:v>
      </x:c>
      <x:c r="J12" s="9" t="str">
        <x:f>'岗位清单'!N12</x:f>
        <x:v>未披露；加班情况需面试核验</x:v>
      </x:c>
      <x:c r="K12" s="9" t="str">
        <x:f>'岗位清单'!Q12</x:f>
        <x:v>专家岗可能追问平台级Owner深度；补规模数据和Python/Go生产代码。</x:v>
      </x:c>
      <x:c r="L12" s="9" t="str">
        <x:f>'岗位清单'!R12</x:f>
        <x:v>京东招聘官网（需登录）</x:v>
      </x:c>
      <x:c r="M12" s="9" t="str">
        <x:f>'岗位清单'!S12</x:f>
        <x:v>https://zhaopin.jd.com/web/job-info-detail?requementId=219681</x:v>
      </x:c>
      <x:c r="N12" s="9" t="str">
        <x:f>'岗位清单'!Y12</x:f>
        <x:v>等待回执；准备平台级Agent系统设计</x:v>
      </x:c>
    </x:row>
    <x:row r="13" ht="58" customHeight="1">
      <x:c r="A13" s="9" t="n">
        <x:v>10</x:v>
      </x:c>
      <x:c r="B13" s="9" t="str">
        <x:f>'岗位清单'!C13</x:f>
        <x:v>S</x:v>
      </x:c>
      <x:c r="C13" s="9" t="n">
        <x:f>'岗位清单'!I13</x:f>
        <x:v>90</x:v>
      </x:c>
      <x:c r="D13" s="9" t="str">
        <x:f>'岗位清单'!H13</x:f>
        <x:v>北京</x:v>
      </x:c>
      <x:c r="E13" s="9" t="str">
        <x:f>'岗位清单'!E13</x:f>
        <x:v>百度</x:v>
      </x:c>
      <x:c r="F13" s="9" t="str">
        <x:f>'岗位清单'!G13</x:f>
        <x:v>AI应用工程师（J101300）</x:v>
      </x:c>
      <x:c r="G13" s="9" t="str">
        <x:f>'岗位清单'!D13</x:f>
        <x:v>待本人手工</x:v>
      </x:c>
      <x:c r="H13" s="9" t="str">
        <x:f>'岗位清单'!L13</x:f>
        <x:v>未披露</x:v>
      </x:c>
      <x:c r="I13" s="9" t="str">
        <x:f>'岗位清单'!M13</x:f>
        <x:v>未披露</x:v>
      </x:c>
      <x:c r="J13" s="9" t="str">
        <x:f>'岗位清单'!N13</x:f>
        <x:v>未披露；加班情况需面试核验</x:v>
      </x:c>
      <x:c r="K13" s="9" t="str">
        <x:f>'岗位清单'!Q13</x:f>
        <x:v>岗位偏Python/Go；简历中需突出Python实践与权限/安全边界。</x:v>
      </x:c>
      <x:c r="L13" s="9" t="str">
        <x:f>'岗位清单'!R13</x:f>
        <x:v>百度招聘官网</x:v>
      </x:c>
      <x:c r="M13" s="9" t="str">
        <x:f>'岗位清单'!S13</x:f>
        <x:v>https://talent.baidu.com/jobs/detail/SOCIAL/b286456b-922b-4ff3-9da0-0e8855443ba0</x:v>
      </x:c>
      <x:c r="N13" s="9" t="str">
        <x:f>'岗位清单'!Y13</x:f>
        <x:v>本人在百度招聘官网手工投递</x:v>
      </x:c>
    </x:row>
    <x:row r="14" ht="58" customHeight="1">
      <x:c r="A14" s="9" t="n">
        <x:v>11</x:v>
      </x:c>
      <x:c r="B14" s="9" t="str">
        <x:f>'岗位清单'!C14</x:f>
        <x:v>S</x:v>
      </x:c>
      <x:c r="C14" s="9" t="n">
        <x:f>'岗位清单'!I14</x:f>
        <x:v>90</x:v>
      </x:c>
      <x:c r="D14" s="9" t="str">
        <x:f>'岗位清单'!H14</x:f>
        <x:v>武汉</x:v>
      </x:c>
      <x:c r="E14" s="9" t="str">
        <x:f>'岗位清单'!E14</x:f>
        <x:v>光庭信息</x:v>
      </x:c>
      <x:c r="F14" s="9" t="str">
        <x:f>'岗位清单'!G14</x:f>
        <x:v>后端开发工程师（AI应用方向）</x:v>
      </x:c>
      <x:c r="G14" s="9" t="str">
        <x:f>'岗位清单'!D14</x:f>
        <x:v>已投递</x:v>
      </x:c>
      <x:c r="H14" s="9" t="str">
        <x:f>'岗位清单'!L14</x:f>
        <x:v>未披露</x:v>
      </x:c>
      <x:c r="I14" s="9" t="str">
        <x:f>'岗位清单'!M14</x:f>
        <x:v>未披露</x:v>
      </x:c>
      <x:c r="J14" s="9" t="str">
        <x:f>'岗位清单'!N14</x:f>
        <x:v>未披露；加班情况需面试核验</x:v>
      </x:c>
      <x:c r="K14" s="9" t="str">
        <x:f>'岗位清单'!Q14</x:f>
        <x:v>公开JD信息颗粒度有限；核验主语言、薪资、汽车软件领域要求。</x:v>
      </x:c>
      <x:c r="L14" s="9" t="str">
        <x:f>'岗位清单'!R14</x:f>
        <x:v>智联招聘</x:v>
      </x:c>
      <x:c r="M14" s="9" t="str">
        <x:f>'岗位清单'!S14</x:f>
        <x:v>https://www.zhaopin.com/jobdetail/CC534400620J40786032916.htm</x:v>
      </x:c>
      <x:c r="N14" s="9" t="str">
        <x:f>'岗位清单'!Y14</x:f>
        <x:v>等待回执；3–5个工作日后跟进</x:v>
      </x:c>
    </x:row>
    <x:row r="15" ht="58" customHeight="1">
      <x:c r="A15" s="9" t="n">
        <x:v>12</x:v>
      </x:c>
      <x:c r="B15" s="9" t="str">
        <x:f>'岗位清单'!C15</x:f>
        <x:v>A</x:v>
      </x:c>
      <x:c r="C15" s="9" t="n">
        <x:f>'岗位清单'!I15</x:f>
        <x:v>89</x:v>
      </x:c>
      <x:c r="D15" s="9" t="str">
        <x:f>'岗位清单'!H15</x:f>
        <x:v>北京</x:v>
      </x:c>
      <x:c r="E15" s="9" t="str">
        <x:f>'岗位清单'!E15</x:f>
        <x:v>百度</x:v>
      </x:c>
      <x:c r="F15" s="9" t="str">
        <x:f>'岗位清单'!G15</x:f>
        <x:v>Agent后端研发工程师（J103882）</x:v>
      </x:c>
      <x:c r="G15" s="9" t="str">
        <x:f>'岗位清单'!D15</x:f>
        <x:v>待本人手工</x:v>
      </x:c>
      <x:c r="H15" s="9" t="str">
        <x:f>'岗位清单'!L15</x:f>
        <x:v>未披露</x:v>
      </x:c>
      <x:c r="I15" s="9" t="str">
        <x:f>'岗位清单'!M15</x:f>
        <x:v>未披露</x:v>
      </x:c>
      <x:c r="J15" s="9" t="str">
        <x:f>'岗位清单'!N15</x:f>
        <x:v>未披露；加班情况需面试核验</x:v>
      </x:c>
      <x:c r="K15" s="9" t="str">
        <x:f>'岗位清单'!Q15</x:f>
        <x:v>官网JD信息不完整；先核验主语言、职级和是否共享候选人。</x:v>
      </x:c>
      <x:c r="L15" s="9" t="str">
        <x:f>'岗位清单'!R15</x:f>
        <x:v>百度招聘官网</x:v>
      </x:c>
      <x:c r="M15" s="9" t="str">
        <x:f>'岗位清单'!S15</x:f>
        <x:v>https://talent.baidu.com/jobs/detail/SOCIAL/d1876313-6604-4e8d-bbcc-0dca5be4e51b</x:v>
      </x:c>
      <x:c r="N15" s="9" t="str">
        <x:f>'岗位清单'!Y15</x:f>
        <x:v>本人在百度招聘官网手工投递</x:v>
      </x:c>
    </x:row>
    <x:row r="16" ht="58" customHeight="1">
      <x:c r="A16" s="9" t="n">
        <x:v>13</x:v>
      </x:c>
      <x:c r="B16" s="9" t="str">
        <x:f>'岗位清单'!C16</x:f>
        <x:v>A</x:v>
      </x:c>
      <x:c r="C16" s="9" t="n">
        <x:f>'岗位清单'!I16</x:f>
        <x:v>89</x:v>
      </x:c>
      <x:c r="D16" s="9" t="str">
        <x:f>'岗位清单'!H16</x:f>
        <x:v>重庆</x:v>
      </x:c>
      <x:c r="E16" s="9" t="str">
        <x:f>'岗位清单'!E16</x:f>
        <x:v>重庆青竹数智科技</x:v>
      </x:c>
      <x:c r="F16" s="9" t="str">
        <x:f>'岗位清单'!G16</x:f>
        <x:v>AI大模型应用工程师</x:v>
      </x:c>
      <x:c r="G16" s="9" t="str">
        <x:f>'岗位清单'!D16</x:f>
        <x:v>已投递</x:v>
      </x:c>
      <x:c r="H16" s="9" t="str">
        <x:f>'岗位清单'!L16</x:f>
        <x:v>未披露</x:v>
      </x:c>
      <x:c r="I16" s="9" t="str">
        <x:f>'岗位清单'!M16</x:f>
        <x:v>未披露</x:v>
      </x:c>
      <x:c r="J16" s="9" t="str">
        <x:f>'岗位清单'!N16</x:f>
        <x:v>未披露；加班情况需面试核验</x:v>
      </x:c>
      <x:c r="K16" s="9" t="str">
        <x:f>'岗位清单'!Q16</x:f>
        <x:v>可能偏项目交付；核验薪资、团队规模和长期Agent路线。</x:v>
      </x:c>
      <x:c r="L16" s="9" t="str">
        <x:f>'岗位清单'!R16</x:f>
        <x:v>智联招聘</x:v>
      </x:c>
      <x:c r="M16" s="9" t="str">
        <x:f>'岗位清单'!S16</x:f>
        <x:v>https://www.zhaopin.com/jobdetail/CCL1282329150J40837063709.htm</x:v>
      </x:c>
      <x:c r="N16" s="9" t="str">
        <x:f>'岗位清单'!Y16</x:f>
        <x:v>等待回执；3–5个工作日后跟进</x:v>
      </x:c>
    </x:row>
    <x:row r="17" ht="58" customHeight="1">
      <x:c r="A17" s="9" t="n">
        <x:v>14</x:v>
      </x:c>
      <x:c r="B17" s="9" t="str">
        <x:f>'岗位清单'!C17</x:f>
        <x:v>A</x:v>
      </x:c>
      <x:c r="C17" s="9" t="n">
        <x:f>'岗位清单'!I17</x:f>
        <x:v>87</x:v>
      </x:c>
      <x:c r="D17" s="9" t="str">
        <x:f>'岗位清单'!H17</x:f>
        <x:v>北京</x:v>
      </x:c>
      <x:c r="E17" s="9" t="str">
        <x:f>'岗位清单'!E17</x:f>
        <x:v>北京亿智云科技有限公司</x:v>
      </x:c>
      <x:c r="F17" s="9" t="str">
        <x:f>'岗位清单'!G17</x:f>
        <x:v>AI Agent开发工程师（政务智能体方向）</x:v>
      </x:c>
      <x:c r="G17" s="9" t="str">
        <x:f>'岗位清单'!D17</x:f>
        <x:v>已投递</x:v>
      </x:c>
      <x:c r="H17" s="9" t="str">
        <x:f>'岗位清单'!L17</x:f>
        <x:v>未披露</x:v>
      </x:c>
      <x:c r="I17" s="9" t="str">
        <x:f>'岗位清单'!M17</x:f>
        <x:v>未披露</x:v>
      </x:c>
      <x:c r="J17" s="9" t="str">
        <x:f>'岗位清单'!N17</x:f>
        <x:v>未披露；加班情况需面试核验</x:v>
      </x:c>
      <x:c r="K17" s="9" t="str">
        <x:f>'岗位清单'!Q17</x:f>
        <x:v>政务项目交付、信创与数据合规要求需核验。</x:v>
      </x:c>
      <x:c r="L17" s="9" t="str">
        <x:f>'岗位清单'!R17</x:f>
        <x:v>智联招聘</x:v>
      </x:c>
      <x:c r="M17" s="9" t="str">
        <x:f>'岗位清单'!S17</x:f>
        <x:v>https://www.zhaopin.com/jobdetail/CC844803710J40914651403.htm</x:v>
      </x:c>
      <x:c r="N17" s="9" t="str">
        <x:f>'岗位清单'!Y17</x:f>
        <x:v>等待回执；准备政务知识库与安全</x:v>
      </x:c>
    </x:row>
    <x:row r="18" ht="58" customHeight="1">
      <x:c r="A18" s="9" t="n">
        <x:v>15</x:v>
      </x:c>
      <x:c r="B18" s="9" t="str">
        <x:f>'岗位清单'!C18</x:f>
        <x:v>A</x:v>
      </x:c>
      <x:c r="C18" s="9" t="n">
        <x:f>'岗位清单'!I18</x:f>
        <x:v>87</x:v>
      </x:c>
      <x:c r="D18" s="9" t="str">
        <x:f>'岗位清单'!H18</x:f>
        <x:v>北京</x:v>
      </x:c>
      <x:c r="E18" s="9" t="str">
        <x:f>'岗位清单'!E18</x:f>
        <x:v>北京赛迪时代信息产业股份有限公司</x:v>
      </x:c>
      <x:c r="F18" s="9" t="str">
        <x:f>'岗位清单'!G18</x:f>
        <x:v>大模型应用开发工程师</x:v>
      </x:c>
      <x:c r="G18" s="9" t="str">
        <x:f>'岗位清单'!D18</x:f>
        <x:v>已投递</x:v>
      </x:c>
      <x:c r="H18" s="9" t="str">
        <x:f>'岗位清单'!L18</x:f>
        <x:v>未披露</x:v>
      </x:c>
      <x:c r="I18" s="9" t="str">
        <x:f>'岗位清单'!M18</x:f>
        <x:v>未披露</x:v>
      </x:c>
      <x:c r="J18" s="9" t="str">
        <x:f>'岗位清单'!N18</x:f>
        <x:v>未披露；加班情况需面试核验</x:v>
      </x:c>
      <x:c r="K18" s="9" t="str">
        <x:f>'岗位清单'!Q18</x:f>
        <x:v>需核验是否偏政企交付、驻场，以及主语言和模型部署要求。</x:v>
      </x:c>
      <x:c r="L18" s="9" t="str">
        <x:f>'岗位清单'!R18</x:f>
        <x:v>智联招聘</x:v>
      </x:c>
      <x:c r="M18" s="9" t="str">
        <x:f>'岗位清单'!S18</x:f>
        <x:v>https://www.zhaopin.com/jobdetail/CC000441110J40857983309.htm</x:v>
      </x:c>
      <x:c r="N18" s="9" t="str">
        <x:f>'岗位清单'!Y18</x:f>
        <x:v>等待回执；核验政企交付/驻场</x:v>
      </x:c>
    </x:row>
    <x:row r="19" ht="58" customHeight="1">
      <x:c r="A19" s="9" t="n">
        <x:v>16</x:v>
      </x:c>
      <x:c r="B19" s="9" t="str">
        <x:f>'岗位清单'!C19</x:f>
        <x:v>A</x:v>
      </x:c>
      <x:c r="C19" s="9" t="n">
        <x:f>'岗位清单'!I19</x:f>
        <x:v>87</x:v>
      </x:c>
      <x:c r="D19" s="9" t="str">
        <x:f>'岗位清单'!H19</x:f>
        <x:v>深圳</x:v>
      </x:c>
      <x:c r="E19" s="9" t="str">
        <x:f>'岗位清单'!E19</x:f>
        <x:v>深圳市瓴知智能科技有限公司</x:v>
      </x:c>
      <x:c r="F19" s="9" t="str">
        <x:f>'岗位清单'!G19</x:f>
        <x:v>AI Agent应用开发工程师</x:v>
      </x:c>
      <x:c r="G19" s="9" t="str">
        <x:f>'岗位清单'!D19</x:f>
        <x:v>已投递</x:v>
      </x:c>
      <x:c r="H19" s="9" t="str">
        <x:f>'岗位清单'!L19</x:f>
        <x:v>未披露</x:v>
      </x:c>
      <x:c r="I19" s="9" t="str">
        <x:f>'岗位清单'!M19</x:f>
        <x:v>未披露</x:v>
      </x:c>
      <x:c r="J19" s="9" t="str">
        <x:f>'岗位清单'!N19</x:f>
        <x:v>未披露；加班情况需面试核验</x:v>
      </x:c>
      <x:c r="K19" s="9" t="str">
        <x:f>'岗位清单'!Q19</x:f>
        <x:v>完整JD、薪资、办公与工时均需二次核验。</x:v>
      </x:c>
      <x:c r="L19" s="9" t="str">
        <x:f>'岗位清单'!R19</x:f>
        <x:v>智联招聘</x:v>
      </x:c>
      <x:c r="M19" s="9" t="str">
        <x:f>'岗位清单'!S19</x:f>
        <x:v>https://www.zhaopin.com/jobdetail/CCL1522707210J40919026103.htm</x:v>
      </x:c>
      <x:c r="N19" s="9" t="str">
        <x:f>'岗位清单'!Y19</x:f>
        <x:v>等待回执；面试前回看完整JD</x:v>
      </x:c>
    </x:row>
    <x:row r="20" ht="58" customHeight="1">
      <x:c r="A20" s="9" t="n">
        <x:v>17</x:v>
      </x:c>
      <x:c r="B20" s="9" t="str">
        <x:f>'岗位清单'!C20</x:f>
        <x:v>A</x:v>
      </x:c>
      <x:c r="C20" s="9" t="n">
        <x:f>'岗位清单'!I20</x:f>
        <x:v>87</x:v>
      </x:c>
      <x:c r="D20" s="9" t="str">
        <x:f>'岗位清单'!H20</x:f>
        <x:v>武汉</x:v>
      </x:c>
      <x:c r="E20" s="9" t="str">
        <x:f>'岗位清单'!E20</x:f>
        <x:v>LingoAce（领格教育）</x:v>
      </x:c>
      <x:c r="F20" s="9" t="str">
        <x:f>'岗位清单'!G20</x:f>
        <x:v>Agent/AI研发工程师（R20261869）</x:v>
      </x:c>
      <x:c r="G20" s="9" t="str">
        <x:f>'岗位清单'!D20</x:f>
        <x:v>已投递</x:v>
      </x:c>
      <x:c r="H20" s="9" t="str">
        <x:f>'岗位清单'!L20</x:f>
        <x:v>未披露</x:v>
      </x:c>
      <x:c r="I20" s="9" t="str">
        <x:f>'岗位清单'!M20</x:f>
        <x:v>未披露</x:v>
      </x:c>
      <x:c r="J20" s="9" t="str">
        <x:f>'岗位清单'!N20</x:f>
        <x:v>未披露；加班情况需面试核验</x:v>
      </x:c>
      <x:c r="K20" s="9" t="str">
        <x:f>'岗位清单'!Q20</x:f>
        <x:v>你是4年而JD写5年；Java不是主力语言，需强调C#/分布式工程迁移。</x:v>
      </x:c>
      <x:c r="L20" s="9" t="str">
        <x:f>'岗位清单'!R20</x:f>
        <x:v>Workday官网</x:v>
      </x:c>
      <x:c r="M20" s="9" t="str">
        <x:f>'岗位清单'!S20</x:f>
        <x:v>https://pplingo.wd3.myworkdayjobs.com/en-US/External/job/Agent-AI_R20261869</x:v>
      </x:c>
      <x:c r="N20" s="9" t="str">
        <x:f>'岗位清单'!Y20</x:f>
        <x:v>等待回执；准备Java迁移与企业Agent稳定性</x:v>
      </x:c>
    </x:row>
    <x:row r="21" ht="58" customHeight="1">
      <x:c r="A21" s="9" t="n">
        <x:v>18</x:v>
      </x:c>
      <x:c r="B21" s="9" t="str">
        <x:f>'岗位清单'!C21</x:f>
        <x:v>A</x:v>
      </x:c>
      <x:c r="C21" s="9" t="n">
        <x:f>'岗位清单'!I21</x:f>
        <x:v>86</x:v>
      </x:c>
      <x:c r="D21" s="9" t="str">
        <x:f>'岗位清单'!H21</x:f>
        <x:v>合肥</x:v>
      </x:c>
      <x:c r="E21" s="9" t="str">
        <x:f>'岗位清单'!E21</x:f>
        <x:v>合肥中贸科技有限公司</x:v>
      </x:c>
      <x:c r="F21" s="9" t="str">
        <x:f>'岗位清单'!G21</x:f>
        <x:v>AI Agent应用开发（Dify）</x:v>
      </x:c>
      <x:c r="G21" s="9" t="str">
        <x:f>'岗位清单'!D21</x:f>
        <x:v>已投递</x:v>
      </x:c>
      <x:c r="H21" s="9" t="str">
        <x:f>'岗位清单'!L21</x:f>
        <x:v>未披露</x:v>
      </x:c>
      <x:c r="I21" s="9" t="str">
        <x:f>'岗位清单'!M21</x:f>
        <x:v>未披露</x:v>
      </x:c>
      <x:c r="J21" s="9" t="str">
        <x:f>'岗位清单'!N21</x:f>
        <x:v>未披露；加班情况需面试核验</x:v>
      </x:c>
      <x:c r="K21" s="9" t="str">
        <x:f>'岗位清单'!Q21</x:f>
        <x:v>需要补Dify节点编排、插件开发及平台边界的具体案例。</x:v>
      </x:c>
      <x:c r="L21" s="9" t="str">
        <x:f>'岗位清单'!R21</x:f>
        <x:v>智联招聘</x:v>
      </x:c>
      <x:c r="M21" s="9" t="str">
        <x:f>'岗位清单'!S21</x:f>
        <x:v>https://www.zhaopin.com/jobdetail/CCL1496573550J40902058113.htm</x:v>
      </x:c>
      <x:c r="N21" s="9" t="str">
        <x:f>'岗位清单'!Y21</x:f>
        <x:v>等待回执；补Dify平台问答</x:v>
      </x:c>
    </x:row>
  </x:sheetData>
  <x:mergeCells>
    <x:mergeCell ref="A1:N1"/>
  </x:mergeCells>
  <x:conditionalFormatting sqref="C4:C21">
    <x:cfRule type="dataBar" priority="1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{3989919D-C96A-E5B9-55E2-A5F90FB89F8A}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89919D-C96A-E5B9-55E2-A5F90FB89F8A}">
            <x14:dataBar gradient="1">
              <x14:cfvo type="min"/>
              <x14:cfvo type="max"/>
              <x14:fillColor rgb="FF2F6BFF"/>
            </x14:dataBar>
          </x14:cfRule>
          <xm:sqref>C4:C21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18" hidden="0" customWidth="1"/>
    <x:col min="5" max="5" width="22" hidden="0" customWidth="1"/>
    <x:col min="6" max="6" width="24" hidden="0" customWidth="1"/>
    <x:col min="7" max="7" width="32" hidden="0" customWidth="1"/>
    <x:col min="8" max="8" width="11" hidden="0" customWidth="1"/>
    <x:col min="9" max="9" width="10" hidden="0" customWidth="1"/>
    <x:col min="10" max="10" width="11" hidden="0" customWidth="1"/>
    <x:col min="11" max="11" width="11" hidden="0" customWidth="1"/>
    <x:col min="12" max="12" width="20" hidden="0" customWidth="1"/>
    <x:col min="13" max="13" width="20" hidden="0" customWidth="1"/>
    <x:col min="14" max="14" width="28" hidden="0" customWidth="1"/>
    <x:col min="15" max="15" width="54" hidden="0" customWidth="1"/>
    <x:col min="16" max="16" width="46" hidden="0" customWidth="1"/>
    <x:col min="17" max="17" width="44" hidden="0" customWidth="1"/>
    <x:col min="18" max="18" width="19" hidden="0" customWidth="1"/>
    <x:col min="19" max="19" width="43" hidden="0" customWidth="1"/>
    <x:col min="20" max="20" width="43" hidden="0" customWidth="1"/>
    <x:col min="21" max="21" width="34" hidden="0" customWidth="1"/>
    <x:col min="22" max="22" width="10" hidden="0" customWidth="1"/>
    <x:col min="23" max="23" width="12" hidden="0" customWidth="1"/>
    <x:col min="24" max="24" width="12" hidden="0" customWidth="1"/>
    <x:col min="25" max="25" width="38" hidden="0" customWidth="1"/>
    <x:col min="26" max="26" width="13" hidden="0" customWidth="1"/>
    <x:col min="27" max="27" width="38" hidden="0" customWidth="1"/>
    <x:col min="28" max="28" width="9" hidden="0" customWidth="1"/>
    <x:col min="29" max="29" width="9" hidden="0" customWidth="1"/>
    <x:col min="30" max="30" width="11" hidden="0" customWidth="1"/>
    <x:col min="31" max="31" width="10" hidden="0" customWidth="1"/>
    <x:col min="32" max="32" width="10" hidden="0" customWidth="1"/>
  </x:cols>
  <x:sheetData>
    <x:row r="1" ht="34" customHeight="1">
      <x:c r="A1" s="3" t="str">
        <x:v>岗位清单｜发布城市不含上海、苏州、杭州</x:v>
      </x:c>
      <x:c r="B1" s="3" t="str">
        <x:v>岗位清单｜发布城市不含上海、苏州、杭州</x:v>
      </x:c>
      <x:c r="C1" s="3" t="str">
        <x:v>岗位清单｜发布城市不含上海、苏州、杭州</x:v>
      </x:c>
      <x:c r="D1" s="3" t="str">
        <x:v>岗位清单｜发布城市不含上海、苏州、杭州</x:v>
      </x:c>
      <x:c r="E1" s="3" t="str">
        <x:v>岗位清单｜发布城市不含上海、苏州、杭州</x:v>
      </x:c>
      <x:c r="F1" s="3" t="str">
        <x:v>岗位清单｜发布城市不含上海、苏州、杭州</x:v>
      </x:c>
      <x:c r="G1" s="3" t="str">
        <x:v>岗位清单｜发布城市不含上海、苏州、杭州</x:v>
      </x:c>
      <x:c r="H1" s="3" t="str">
        <x:v>岗位清单｜发布城市不含上海、苏州、杭州</x:v>
      </x:c>
      <x:c r="I1" s="3" t="str">
        <x:v>岗位清单｜发布城市不含上海、苏州、杭州</x:v>
      </x:c>
      <x:c r="J1" s="3" t="str">
        <x:v>岗位清单｜发布城市不含上海、苏州、杭州</x:v>
      </x:c>
      <x:c r="K1" s="3" t="str">
        <x:v>岗位清单｜发布城市不含上海、苏州、杭州</x:v>
      </x:c>
      <x:c r="L1" s="3" t="str">
        <x:v>岗位清单｜发布城市不含上海、苏州、杭州</x:v>
      </x:c>
      <x:c r="M1" s="3" t="str">
        <x:v>岗位清单｜发布城市不含上海、苏州、杭州</x:v>
      </x:c>
      <x:c r="N1" s="3" t="str">
        <x:v>岗位清单｜发布城市不含上海、苏州、杭州</x:v>
      </x:c>
      <x:c r="O1" s="3" t="str">
        <x:v>岗位清单｜发布城市不含上海、苏州、杭州</x:v>
      </x:c>
      <x:c r="P1" s="3" t="str">
        <x:v>岗位清单｜发布城市不含上海、苏州、杭州</x:v>
      </x:c>
      <x:c r="Q1" s="3" t="str">
        <x:v>岗位清单｜发布城市不含上海、苏州、杭州</x:v>
      </x:c>
      <x:c r="R1" s="3" t="str">
        <x:v>岗位清单｜发布城市不含上海、苏州、杭州</x:v>
      </x:c>
      <x:c r="S1" s="3" t="str">
        <x:v>岗位清单｜发布城市不含上海、苏州、杭州</x:v>
      </x:c>
      <x:c r="T1" s="3" t="str">
        <x:v>岗位清单｜发布城市不含上海、苏州、杭州</x:v>
      </x:c>
      <x:c r="U1" s="3" t="str">
        <x:v>岗位清单｜发布城市不含上海、苏州、杭州</x:v>
      </x:c>
      <x:c r="V1" s="3" t="str">
        <x:v>岗位清单｜发布城市不含上海、苏州、杭州</x:v>
      </x:c>
      <x:c r="W1" s="3" t="str">
        <x:v>岗位清单｜发布城市不含上海、苏州、杭州</x:v>
      </x:c>
      <x:c r="X1" s="3" t="str">
        <x:v>岗位清单｜发布城市不含上海、苏州、杭州</x:v>
      </x:c>
      <x:c r="Y1" s="3" t="str">
        <x:v>岗位清单｜发布城市不含上海、苏州、杭州</x:v>
      </x:c>
      <x:c r="Z1" s="3" t="str">
        <x:v>岗位清单｜发布城市不含上海、苏州、杭州</x:v>
      </x:c>
      <x:c r="AA1" s="3" t="str">
        <x:v>岗位清单｜发布城市不含上海、苏州、杭州</x:v>
      </x:c>
      <x:c r="AB1" s="3" t="str">
        <x:v>岗位清单｜发布城市不含上海、苏州、杭州</x:v>
      </x:c>
      <x:c r="AC1" s="3" t="str">
        <x:v>岗位清单｜发布城市不含上海、苏州、杭州</x:v>
      </x:c>
      <x:c r="AD1" s="3" t="str">
        <x:v>岗位清单｜发布城市不含上海、苏州、杭州</x:v>
      </x:c>
      <x:c r="AE1" s="3" t="str">
        <x:v>岗位清单｜发布城市不含上海、苏州、杭州</x:v>
      </x:c>
      <x:c r="AF1" s="3" t="str">
        <x:v>岗位清单｜发布城市不含上海、苏州、杭州</x:v>
      </x:c>
    </x:row>
    <x:row r="2">
      <x:c r="A2" s="15" t="str">
        <x:v>蓝色=先投，黄色=次投，红色=暂缓；AA:AF为评分与风险辅助列。匹配分是简历匹配度，不是录用概率。</x:v>
      </x:c>
      <x:c r="B2" s="15" t="str">
        <x:v>蓝色=先投，黄色=次投，红色=暂缓；AA:AF为评分与风险辅助列。匹配分是简历匹配度，不是录用概率。</x:v>
      </x:c>
      <x:c r="C2" s="15" t="str">
        <x:v>蓝色=先投，黄色=次投，红色=暂缓；AA:AF为评分与风险辅助列。匹配分是简历匹配度，不是录用概率。</x:v>
      </x:c>
      <x:c r="D2" s="15" t="str">
        <x:v>蓝色=先投，黄色=次投，红色=暂缓；AA:AF为评分与风险辅助列。匹配分是简历匹配度，不是录用概率。</x:v>
      </x:c>
      <x:c r="E2" s="15" t="str">
        <x:v>蓝色=先投，黄色=次投，红色=暂缓；AA:AF为评分与风险辅助列。匹配分是简历匹配度，不是录用概率。</x:v>
      </x:c>
      <x:c r="F2" s="15" t="str">
        <x:v>蓝色=先投，黄色=次投，红色=暂缓；AA:AF为评分与风险辅助列。匹配分是简历匹配度，不是录用概率。</x:v>
      </x:c>
      <x:c r="G2" s="15" t="str">
        <x:v>蓝色=先投，黄色=次投，红色=暂缓；AA:AF为评分与风险辅助列。匹配分是简历匹配度，不是录用概率。</x:v>
      </x:c>
      <x:c r="H2" s="15" t="str">
        <x:v>蓝色=先投，黄色=次投，红色=暂缓；AA:AF为评分与风险辅助列。匹配分是简历匹配度，不是录用概率。</x:v>
      </x:c>
      <x:c r="I2" s="15" t="str">
        <x:v>蓝色=先投，黄色=次投，红色=暂缓；AA:AF为评分与风险辅助列。匹配分是简历匹配度，不是录用概率。</x:v>
      </x:c>
      <x:c r="J2" s="15" t="str">
        <x:v>蓝色=先投，黄色=次投，红色=暂缓；AA:AF为评分与风险辅助列。匹配分是简历匹配度，不是录用概率。</x:v>
      </x:c>
      <x:c r="K2" s="15" t="str">
        <x:v>蓝色=先投，黄色=次投，红色=暂缓；AA:AF为评分与风险辅助列。匹配分是简历匹配度，不是录用概率。</x:v>
      </x:c>
      <x:c r="L2" s="15" t="str">
        <x:v>蓝色=先投，黄色=次投，红色=暂缓；AA:AF为评分与风险辅助列。匹配分是简历匹配度，不是录用概率。</x:v>
      </x:c>
      <x:c r="M2" s="15" t="str">
        <x:v>蓝色=先投，黄色=次投，红色=暂缓；AA:AF为评分与风险辅助列。匹配分是简历匹配度，不是录用概率。</x:v>
      </x:c>
      <x:c r="N2" s="15" t="str">
        <x:v>蓝色=先投，黄色=次投，红色=暂缓；AA:AF为评分与风险辅助列。匹配分是简历匹配度，不是录用概率。</x:v>
      </x:c>
      <x:c r="O2" s="15" t="str">
        <x:v>蓝色=先投，黄色=次投，红色=暂缓；AA:AF为评分与风险辅助列。匹配分是简历匹配度，不是录用概率。</x:v>
      </x:c>
      <x:c r="P2" s="15" t="str">
        <x:v>蓝色=先投，黄色=次投，红色=暂缓；AA:AF为评分与风险辅助列。匹配分是简历匹配度，不是录用概率。</x:v>
      </x:c>
      <x:c r="Q2" s="15" t="str">
        <x:v>蓝色=先投，黄色=次投，红色=暂缓；AA:AF为评分与风险辅助列。匹配分是简历匹配度，不是录用概率。</x:v>
      </x:c>
      <x:c r="R2" s="15" t="str">
        <x:v>蓝色=先投，黄色=次投，红色=暂缓；AA:AF为评分与风险辅助列。匹配分是简历匹配度，不是录用概率。</x:v>
      </x:c>
      <x:c r="S2" s="15" t="str">
        <x:v>蓝色=先投，黄色=次投，红色=暂缓；AA:AF为评分与风险辅助列。匹配分是简历匹配度，不是录用概率。</x:v>
      </x:c>
      <x:c r="T2" s="15" t="str">
        <x:v>蓝色=先投，黄色=次投，红色=暂缓；AA:AF为评分与风险辅助列。匹配分是简历匹配度，不是录用概率。</x:v>
      </x:c>
      <x:c r="U2" s="15" t="str">
        <x:v>蓝色=先投，黄色=次投，红色=暂缓；AA:AF为评分与风险辅助列。匹配分是简历匹配度，不是录用概率。</x:v>
      </x:c>
      <x:c r="V2" s="15" t="str">
        <x:v>蓝色=先投，黄色=次投，红色=暂缓；AA:AF为评分与风险辅助列。匹配分是简历匹配度，不是录用概率。</x:v>
      </x:c>
      <x:c r="W2" s="15" t="str">
        <x:v>蓝色=先投，黄色=次投，红色=暂缓；AA:AF为评分与风险辅助列。匹配分是简历匹配度，不是录用概率。</x:v>
      </x:c>
      <x:c r="X2" s="15" t="str">
        <x:v>蓝色=先投，黄色=次投，红色=暂缓；AA:AF为评分与风险辅助列。匹配分是简历匹配度，不是录用概率。</x:v>
      </x:c>
      <x:c r="Y2" s="15" t="str">
        <x:v>蓝色=先投，黄色=次投，红色=暂缓；AA:AF为评分与风险辅助列。匹配分是简历匹配度，不是录用概率。</x:v>
      </x:c>
      <x:c r="Z2" s="15" t="str">
        <x:v>蓝色=先投，黄色=次投，红色=暂缓；AA:AF为评分与风险辅助列。匹配分是简历匹配度，不是录用概率。</x:v>
      </x:c>
      <x:c r="AA2" s="15" t="str">
        <x:v>蓝色=先投，黄色=次投，红色=暂缓；AA:AF为评分与风险辅助列。匹配分是简历匹配度，不是录用概率。</x:v>
      </x:c>
      <x:c r="AB2" s="15" t="str">
        <x:v>蓝色=先投，黄色=次投，红色=暂缓；AA:AF为评分与风险辅助列。匹配分是简历匹配度，不是录用概率。</x:v>
      </x:c>
      <x:c r="AC2" s="15" t="str">
        <x:v>蓝色=先投，黄色=次投，红色=暂缓；AA:AF为评分与风险辅助列。匹配分是简历匹配度，不是录用概率。</x:v>
      </x:c>
      <x:c r="AD2" s="15" t="str">
        <x:v>蓝色=先投，黄色=次投，红色=暂缓；AA:AF为评分与风险辅助列。匹配分是简历匹配度，不是录用概率。</x:v>
      </x:c>
      <x:c r="AE2" s="15" t="str">
        <x:v>蓝色=先投，黄色=次投，红色=暂缓；AA:AF为评分与风险辅助列。匹配分是简历匹配度，不是录用概率。</x:v>
      </x:c>
      <x:c r="AF2" s="15" t="str">
        <x:v>蓝色=先投，黄色=次投，红色=暂缓；AA:AF为评分与风险辅助列。匹配分是简历匹配度，不是录用概率。</x:v>
      </x:c>
    </x:row>
    <x:row r="3" ht="34" customHeight="1">
      <x:c r="A3" s="20" t="str">
        <x:v>ID</x:v>
      </x:c>
      <x:c r="B3" s="20" t="str">
        <x:v>队列</x:v>
      </x:c>
      <x:c r="C3" s="20" t="str">
        <x:v>优先级</x:v>
      </x:c>
      <x:c r="D3" s="20" t="str">
        <x:v>当前状态</x:v>
      </x:c>
      <x:c r="E3" s="20" t="str">
        <x:v>公司</x:v>
      </x:c>
      <x:c r="F3" s="20" t="str">
        <x:v>部门/业务</x:v>
      </x:c>
      <x:c r="G3" s="20" t="str">
        <x:v>岗位</x:v>
      </x:c>
      <x:c r="H3" s="20" t="str">
        <x:v>城市</x:v>
      </x:c>
      <x:c r="I3" s="20" t="str">
        <x:v>匹配分</x:v>
      </x:c>
      <x:c r="J3" s="20" t="str">
        <x:v>练面价值</x:v>
      </x:c>
      <x:c r="K3" s="20" t="str">
        <x:v>串档风险</x:v>
      </x:c>
      <x:c r="L3" s="20" t="str">
        <x:v>薪资</x:v>
      </x:c>
      <x:c r="M3" s="20" t="str">
        <x:v>WFH/办公方式</x:v>
      </x:c>
      <x:c r="N3" s="20" t="str">
        <x:v>工时/加班</x:v>
      </x:c>
      <x:c r="O3" s="20" t="str">
        <x:v>工作要求</x:v>
      </x:c>
      <x:c r="P3" s="20" t="str">
        <x:v>你的匹配点</x:v>
      </x:c>
      <x:c r="Q3" s="20" t="str">
        <x:v>主要差距</x:v>
      </x:c>
      <x:c r="R3" s="20" t="str">
        <x:v>投递方式</x:v>
      </x:c>
      <x:c r="S3" s="20" t="str">
        <x:v>投递入口</x:v>
      </x:c>
      <x:c r="T3" s="20" t="str">
        <x:v>来源/详情</x:v>
      </x:c>
      <x:c r="U3" s="20" t="str">
        <x:v>内推/推荐码</x:v>
      </x:c>
      <x:c r="V3" s="20" t="str">
        <x:v>信息等级</x:v>
      </x:c>
      <x:c r="W3" s="20" t="str">
        <x:v>发布时间</x:v>
      </x:c>
      <x:c r="X3" s="20" t="str">
        <x:v>核验日</x:v>
      </x:c>
      <x:c r="Y3" s="20" t="str">
        <x:v>下一步</x:v>
      </x:c>
      <x:c r="Z3" s="20" t="str">
        <x:v>投递日期</x:v>
      </x:c>
      <x:c r="AA3" s="20" t="str">
        <x:v>备注</x:v>
      </x:c>
      <x:c r="AB3" s="20" t="str">
        <x:v>Agent</x:v>
      </x:c>
      <x:c r="AC3" s="20" t="str">
        <x:v>RAG/Tool</x:v>
      </x:c>
      <x:c r="AD3" s="20" t="str">
        <x:v>后端/全栈</x:v>
      </x:c>
      <x:c r="AE3" s="20" t="str">
        <x:v>年限匹配</x:v>
      </x:c>
      <x:c r="AF3" s="20" t="str">
        <x:v>风险扣分</x:v>
      </x:c>
    </x:row>
    <x:row r="4" ht="66" customHeight="1">
      <x:c r="A4" s="23" t="str">
        <x:v>B006</x:v>
      </x:c>
      <x:c r="B4" s="23" t="str">
        <x:v>先投</x:v>
      </x:c>
      <x:c r="C4" s="23" t="str">
        <x:f>IF(B4="暂缓","HOLD",IF(I4&gt;=90,"S",IF(I4&gt;=82,"A",IF(I4&gt;=72,"B","C"))))</x:f>
        <x:v>S</x:v>
      </x:c>
      <x:c r="D4" s="23" t="str">
        <x:v>已投递</x:v>
      </x:c>
      <x:c r="E4" s="23" t="str">
        <x:v>北控水务</x:v>
      </x:c>
      <x:c r="F4" s="23" t="str">
        <x:v>数字化/AI应用</x:v>
      </x:c>
      <x:c r="G4" s="23" t="str">
        <x:v>大模型与智能体开发工程师（J14604）</x:v>
      </x:c>
      <x:c r="H4" s="23" t="str">
        <x:v>北京</x:v>
      </x:c>
      <x:c r="I4" s="25" t="n">
        <x:f>ROUND(AB4*0.3+AC4*0.25+AD4*0.25+AE4*0.2-AF4,0)</x:f>
        <x:v>94</x:v>
      </x:c>
      <x:c r="J4" s="23" t="str">
        <x:v>高</x:v>
      </x:c>
      <x:c r="K4" s="23" t="str">
        <x:v>低</x:v>
      </x:c>
      <x:c r="L4" s="23" t="str">
        <x:v>30–50K/月</x:v>
      </x:c>
      <x:c r="M4" s="23" t="str">
        <x:v>未披露</x:v>
      </x:c>
      <x:c r="N4" s="23" t="str">
        <x:v>未披露；加班情况需面试核验</x:v>
      </x:c>
      <x:c r="O4" s="23" t="str">
        <x:v>3-5年、硕士；Python Web、LangChain/LangGraph、RAG多路召回/重排、MCP、多Agent、GraphRAG。</x:v>
      </x:c>
      <x:c r="P4" s="23" t="str">
        <x:v>多路召回、RRF、MCP、Agent Eval与年限完全契合。</x:v>
      </x:c>
      <x:c r="Q4" s="23" t="str">
        <x:v>补GraphRAG/本体论；核验招聘平台岗位是否仍开放。</x:v>
      </x:c>
      <x:c r="R4" s="23" t="str">
        <x:v>智联招聘</x:v>
      </x:c>
      <x:c r="S4" s="23" t="str">
        <x:v>https://m.zhaopin.com/jobs/CC306391710J40825077707.htm</x:v>
      </x:c>
      <x:c r="T4" s="23" t="str">
        <x:v>https://m.zhaopin.com/jobs/CC306391710J40825077707.htm</x:v>
      </x:c>
      <x:c r="U4" s="23" t="str">
        <x:v>无可核验公开码</x:v>
      </x:c>
      <x:c r="V4" s="23" t="str">
        <x:v>B</x:v>
      </x:c>
      <x:c r="W4" s="24" t="n">
        <x:v>46174</x:v>
      </x:c>
      <x:c r="X4" s="24" t="n">
        <x:v>46262</x:v>
      </x:c>
      <x:c r="Y4" s="23" t="str">
        <x:v>等待回执；3–5个工作日后跟进</x:v>
      </x:c>
      <x:c r="Z4" s="24" t="n">
        <x:v>46261</x:v>
      </x:c>
      <x:c r="AA4" s="23" t="str"/>
      <x:c r="AB4" s="23" t="n">
        <x:v>96</x:v>
      </x:c>
      <x:c r="AC4" s="23" t="n">
        <x:v>98</x:v>
      </x:c>
      <x:c r="AD4" s="23" t="n">
        <x:v>88</x:v>
      </x:c>
      <x:c r="AE4" s="23" t="n">
        <x:v>95</x:v>
      </x:c>
      <x:c r="AF4" s="23" t="n">
        <x:v>0</x:v>
      </x:c>
    </x:row>
    <x:row r="5" ht="66" customHeight="1">
      <x:c r="A5" s="23" t="str">
        <x:v>C002</x:v>
      </x:c>
      <x:c r="B5" s="23" t="str">
        <x:v>先投</x:v>
      </x:c>
      <x:c r="C5" s="23" t="str">
        <x:f>IF(B5="暂缓","HOLD",IF(I5&gt;=90,"S",IF(I5&gt;=82,"A",IF(I5&gt;=72,"B","C"))))</x:f>
        <x:v>S</x:v>
      </x:c>
      <x:c r="D5" s="23" t="str">
        <x:v>已投递</x:v>
      </x:c>
      <x:c r="E5" s="23" t="str">
        <x:v>超图软件 SuperMap</x:v>
      </x:c>
      <x:c r="F5" s="23" t="str">
        <x:v>智能体平台</x:v>
      </x:c>
      <x:c r="G5" s="23" t="str">
        <x:v>AI算法工程师（实际为Agent全栈）</x:v>
      </x:c>
      <x:c r="H5" s="23" t="str">
        <x:v>成都</x:v>
      </x:c>
      <x:c r="I5" s="25" t="n">
        <x:f>ROUND(AB5*0.3+AC5*0.25+AD5*0.25+AE5*0.2-AF5,0)</x:f>
        <x:v>94</x:v>
      </x:c>
      <x:c r="J5" s="23" t="str">
        <x:v>高</x:v>
      </x:c>
      <x:c r="K5" s="23" t="str">
        <x:v>低</x:v>
      </x:c>
      <x:c r="L5" s="23" t="str">
        <x:v>未披露</x:v>
      </x:c>
      <x:c r="M5" s="23" t="str">
        <x:v>未披露</x:v>
      </x:c>
      <x:c r="N5" s="23" t="str">
        <x:v>未披露；加班情况需面试核验</x:v>
      </x:c>
      <x:c r="O5" s="23" t="str">
        <x:v>3年以上全栈；Python/FastAPI、React/Next.js/TS、OpenAPI/SSE、Agent Runtime、MCP/Skills、会话/记忆/可观测。</x:v>
      </x:c>
      <x:c r="P5" s="23" t="str">
        <x:v>C#后端+React+SSE+MCP+Agent全链路几乎逐项对应。</x:v>
      </x:c>
      <x:c r="Q5" s="23" t="str">
        <x:v>补FastAPI/Next.js作品；邮件中突出Agent Runtime而非传统算法。</x:v>
      </x:c>
      <x:c r="R5" s="23" t="str">
        <x:v>邮件直投</x:v>
      </x:c>
      <x:c r="S5" s="23" t="str">
        <x:v>mailto:zhaopin@supermap.com</x:v>
      </x:c>
      <x:c r="T5" s="23" t="str">
        <x:v>https://www.supermap.com/zh-cn/a/job/13_5191.html</x:v>
      </x:c>
      <x:c r="U5" s="23" t="str">
        <x:v>无公开码；邮件标题注明岗位+姓名+成都</x:v>
      </x:c>
      <x:c r="V5" s="23" t="str">
        <x:v>A</x:v>
      </x:c>
      <x:c r="W5" s="24" t="n">
        <x:v>46219</x:v>
      </x:c>
      <x:c r="X5" s="24" t="n">
        <x:v>46262</x:v>
      </x:c>
      <x:c r="Y5" s="23" t="str">
        <x:v>保留发件记录；5个工作日后跟进</x:v>
      </x:c>
      <x:c r="Z5" s="24" t="n">
        <x:v>46261</x:v>
      </x:c>
      <x:c r="AA5" s="23" t="str"/>
      <x:c r="AB5" s="23" t="n">
        <x:v>98</x:v>
      </x:c>
      <x:c r="AC5" s="23" t="n">
        <x:v>88</x:v>
      </x:c>
      <x:c r="AD5" s="23" t="n">
        <x:v>96</x:v>
      </x:c>
      <x:c r="AE5" s="23" t="n">
        <x:v>95</x:v>
      </x:c>
      <x:c r="AF5" s="23" t="n">
        <x:v>0</x:v>
      </x:c>
    </x:row>
    <x:row r="6" ht="66" customHeight="1">
      <x:c r="A6" s="23" t="str">
        <x:v>N002</x:v>
      </x:c>
      <x:c r="B6" s="23" t="str">
        <x:v>先投</x:v>
      </x:c>
      <x:c r="C6" s="23" t="str">
        <x:f>IF(B6="暂缓","HOLD",IF(I6&gt;=90,"S",IF(I6&gt;=82,"A",IF(I6&gt;=72,"B","C"))))</x:f>
        <x:v>S</x:v>
      </x:c>
      <x:c r="D6" s="23" t="str">
        <x:v>待本人继续</x:v>
      </x:c>
      <x:c r="E6" s="23" t="str">
        <x:v>TD SYNNEX</x:v>
      </x:c>
      <x:c r="F6" s="23" t="str">
        <x:v>企业级AI应用</x:v>
      </x:c>
      <x:c r="G6" s="23" t="str">
        <x:v>Software Engineer / AI应用开发工程师</x:v>
      </x:c>
      <x:c r="H6" s="23" t="str">
        <x:v>成都</x:v>
      </x:c>
      <x:c r="I6" s="25" t="n">
        <x:f>ROUND(AB6*0.3+AC6*0.25+AD6*0.25+AE6*0.2-AF6,0)</x:f>
        <x:v>94</x:v>
      </x:c>
      <x:c r="J6" s="23" t="str">
        <x:v>高</x:v>
      </x:c>
      <x:c r="K6" s="23" t="str">
        <x:v>低</x:v>
      </x:c>
      <x:c r="L6" s="23" t="str">
        <x:v>未披露</x:v>
      </x:c>
      <x:c r="M6" s="23" t="str">
        <x:v>未披露</x:v>
      </x:c>
      <x:c r="N6" s="23" t="str">
        <x:v>未披露；加班情况需面试核验</x:v>
      </x:c>
      <x:c r="O6" s="23" t="str">
        <x:v>985本科及以上、3年以上；LangChain/LlamaIndex、RAG、Agent、向量检索、Python、Docker/K8s、LLMOps、ERP/CRM/OA集成。</x:v>
      </x:c>
      <x:c r="P6" s="23" t="str">
        <x:v>学历、年限、RAG/Agent、K8s、企业系统集成与可观测高度匹配。</x:v>
      </x:c>
      <x:c r="Q6" s="23" t="str">
        <x:v>JD含LoRA/SFT和指导初级成员；准备技术带教与模型微调最小案例。</x:v>
      </x:c>
      <x:c r="R6" s="23" t="str">
        <x:v>Workday官网</x:v>
      </x:c>
      <x:c r="S6" s="23" t="str">
        <x:v>https://synnex.wd5.myworkdayjobs.com/en-US/tdsynnexcareers/job/Software-Engineer_R48648</x:v>
      </x:c>
      <x:c r="T6" s="23" t="str">
        <x:v>https://synnex.wd5.myworkdayjobs.com/en-US/tdsynnexcareers/job/Software-Engineer_R48648</x:v>
      </x:c>
      <x:c r="U6" s="23" t="str">
        <x:v>无可核验公开码</x:v>
      </x:c>
      <x:c r="V6" s="23" t="str">
        <x:v>A</x:v>
      </x:c>
      <x:c r="W6" s="24"/>
      <x:c r="X6" s="24" t="n">
        <x:v>46262</x:v>
      </x:c>
      <x:c r="Y6" s="23" t="str">
        <x:v>本人继续完成Workday剩余字段并提交</x:v>
      </x:c>
      <x:c r="Z6" s="24"/>
      <x:c r="AA6" s="23" t="str"/>
      <x:c r="AB6" s="23" t="n">
        <x:v>94</x:v>
      </x:c>
      <x:c r="AC6" s="23" t="n">
        <x:v>95</x:v>
      </x:c>
      <x:c r="AD6" s="23" t="n">
        <x:v>94</x:v>
      </x:c>
      <x:c r="AE6" s="23" t="n">
        <x:v>95</x:v>
      </x:c>
      <x:c r="AF6" s="23" t="n">
        <x:v>0</x:v>
      </x:c>
    </x:row>
    <x:row r="7" ht="66" customHeight="1">
      <x:c r="A7" s="23" t="str">
        <x:v>N001</x:v>
      </x:c>
      <x:c r="B7" s="23" t="str">
        <x:v>先投</x:v>
      </x:c>
      <x:c r="C7" s="23" t="str">
        <x:f>IF(B7="暂缓","HOLD",IF(I7&gt;=90,"S",IF(I7&gt;=82,"A",IF(I7&gt;=72,"B","C"))))</x:f>
        <x:v>S</x:v>
      </x:c>
      <x:c r="D7" s="23" t="str">
        <x:v>已投递</x:v>
      </x:c>
      <x:c r="E7" s="23" t="str">
        <x:v>荔枝集团 LIZHI</x:v>
      </x:c>
      <x:c r="F7" s="23" t="str">
        <x:v>研发 / 企业AI应用</x:v>
      </x:c>
      <x:c r="G7" s="23" t="str">
        <x:v>大模型应用工程师</x:v>
      </x:c>
      <x:c r="H7" s="23" t="str">
        <x:v>广州</x:v>
      </x:c>
      <x:c r="I7" s="25" t="n">
        <x:f>ROUND(AB7*0.3+AC7*0.25+AD7*0.25+AE7*0.2-AF7,0)</x:f>
        <x:v>94</x:v>
      </x:c>
      <x:c r="J7" s="23" t="str">
        <x:v>高</x:v>
      </x:c>
      <x:c r="K7" s="23" t="str">
        <x:v>低</x:v>
      </x:c>
      <x:c r="L7" s="23" t="str">
        <x:v>未披露</x:v>
      </x:c>
      <x:c r="M7" s="23" t="str">
        <x:v>未披露</x:v>
      </x:c>
      <x:c r="N7" s="23" t="str">
        <x:v>未披露；加班情况需面试核验</x:v>
      </x:c>
      <x:c r="O7" s="23" t="str">
        <x:v>2年以上全栈、1-2年AI；Python/Java、Agent、RAG、工作流、企业知识库/ChatBot、Docker/K8s、前端框架。</x:v>
      </x:c>
      <x:c r="P7" s="23" t="str">
        <x:v>微软后端+React全栈，Agent/RAG/MCP、K8s、企业知识库和评测经验直接对口。</x:v>
      </x:c>
      <x:c r="Q7" s="23" t="str">
        <x:v>JD提到模型部署/微调/低代码平台；需准备Python生产代码与微调边界。</x:v>
      </x:c>
      <x:c r="R7" s="23" t="str">
        <x:v>飞书招聘官网；亦可邮件</x:v>
      </x:c>
      <x:c r="S7" s="23" t="str">
        <x:v>https://lizhi2021.jobs.feishu.cn/index/resume/7576911295640095018/apply</x:v>
      </x:c>
      <x:c r="T7" s="23" t="str">
        <x:v>https://jobs.lizhiinc.com/job/social/detail/7576911295640095018.html</x:v>
      </x:c>
      <x:c r="U7" s="23" t="str">
        <x:v>无；HR邮箱 hr@lizhi.fm</x:v>
      </x:c>
      <x:c r="V7" s="23" t="str">
        <x:v>A</x:v>
      </x:c>
      <x:c r="W7" s="24" t="n">
        <x:v>46044</x:v>
      </x:c>
      <x:c r="X7" s="24" t="n">
        <x:v>46262</x:v>
      </x:c>
      <x:c r="Y7" s="23" t="str">
        <x:v>等待回执；准备广州岗位面试</x:v>
      </x:c>
      <x:c r="Z7" s="24" t="n">
        <x:v>46261</x:v>
      </x:c>
      <x:c r="AA7" s="23" t="str">
        <x:v>2026-08-27已在飞书官网完成投递；PDF解析与必填字段校验均已通过。</x:v>
      </x:c>
      <x:c r="AB7" s="23" t="n">
        <x:v>95</x:v>
      </x:c>
      <x:c r="AC7" s="23" t="n">
        <x:v>95</x:v>
      </x:c>
      <x:c r="AD7" s="23" t="n">
        <x:v>92</x:v>
      </x:c>
      <x:c r="AE7" s="23" t="n">
        <x:v>95</x:v>
      </x:c>
      <x:c r="AF7" s="23" t="n">
        <x:v>0</x:v>
      </x:c>
    </x:row>
    <x:row r="8" ht="66" customHeight="1">
      <x:c r="A8" s="23" t="str">
        <x:v>N005</x:v>
      </x:c>
      <x:c r="B8" s="23" t="str">
        <x:v>先投</x:v>
      </x:c>
      <x:c r="C8" s="23" t="str">
        <x:f>IF(B8="暂缓","HOLD",IF(I8&gt;=90,"S",IF(I8&gt;=82,"A",IF(I8&gt;=72,"B","C"))))</x:f>
        <x:v>S</x:v>
      </x:c>
      <x:c r="D8" s="23" t="str">
        <x:v>已投递</x:v>
      </x:c>
      <x:c r="E8" s="23" t="str">
        <x:v>合肥中科类脑</x:v>
      </x:c>
      <x:c r="F8" s="23" t="str">
        <x:v>智能体 / 能源AI</x:v>
      </x:c>
      <x:c r="G8" s="23" t="str">
        <x:v>算法工程师（Agent）</x:v>
      </x:c>
      <x:c r="H8" s="23" t="str">
        <x:v>合肥</x:v>
      </x:c>
      <x:c r="I8" s="25" t="n">
        <x:f>ROUND(AB8*0.3+AC8*0.25+AD8*0.25+AE8*0.2-AF8,0)</x:f>
        <x:v>92</x:v>
      </x:c>
      <x:c r="J8" s="23" t="str">
        <x:v>高</x:v>
      </x:c>
      <x:c r="K8" s="23" t="str">
        <x:v>低</x:v>
      </x:c>
      <x:c r="L8" s="23" t="str">
        <x:v>面议</x:v>
      </x:c>
      <x:c r="M8" s="23" t="str">
        <x:v>未披露</x:v>
      </x:c>
      <x:c r="N8" s="23" t="str">
        <x:v>未披露；加班情况需面试核验</x:v>
      </x:c>
      <x:c r="O8" s="23" t="str">
        <x:v>LLM、RAG、Agent框架；开发Skills/Tools；能深入框架底层定位缺陷并二次开发。</x:v>
      </x:c>
      <x:c r="P8" s="23" t="str">
        <x:v>MCP工具、Evidence Gate、bounded retry、评测和框架级调优可形成强面试故事。</x:v>
      </x:c>
      <x:c r="Q8" s="23" t="str">
        <x:v>岗位称算法工程师但JD偏工程；需核验是否要求论文/训练经验及能源出差。</x:v>
      </x:c>
      <x:c r="R8" s="23" t="str">
        <x:v>邮件直投</x:v>
      </x:c>
      <x:c r="S8" s="23" t="str">
        <x:v>mailto:hr@leinao.ai</x:v>
      </x:c>
      <x:c r="T8" s="23" t="str">
        <x:v>https://www.leinao.ai/jobdetail/160</x:v>
      </x:c>
      <x:c r="U8" s="23" t="str">
        <x:v>无公开码；邮箱 hr@leinao.ai</x:v>
      </x:c>
      <x:c r="V8" s="23" t="str">
        <x:v>A</x:v>
      </x:c>
      <x:c r="W8" s="24" t="n">
        <x:v>46120</x:v>
      </x:c>
      <x:c r="X8" s="24" t="n">
        <x:v>46262</x:v>
      </x:c>
      <x:c r="Y8" s="23" t="str">
        <x:v>5个工作日后跟进</x:v>
      </x:c>
      <x:c r="Z8" s="24" t="n">
        <x:v>46261</x:v>
      </x:c>
      <x:c r="AA8" s="23" t="str"/>
      <x:c r="AB8" s="23" t="n">
        <x:v>98</x:v>
      </x:c>
      <x:c r="AC8" s="23" t="n">
        <x:v>90</x:v>
      </x:c>
      <x:c r="AD8" s="23" t="n">
        <x:v>86</x:v>
      </x:c>
      <x:c r="AE8" s="23" t="n">
        <x:v>92</x:v>
      </x:c>
      <x:c r="AF8" s="23" t="n">
        <x:v>0</x:v>
      </x:c>
    </x:row>
    <x:row r="9" ht="66" customHeight="1">
      <x:c r="A9" s="23" t="str">
        <x:v>N004</x:v>
      </x:c>
      <x:c r="B9" s="23" t="str">
        <x:v>先投</x:v>
      </x:c>
      <x:c r="C9" s="23" t="str">
        <x:f>IF(B9="暂缓","HOLD",IF(I9&gt;=90,"S",IF(I9&gt;=82,"A",IF(I9&gt;=72,"B","C"))))</x:f>
        <x:v>S</x:v>
      </x:c>
      <x:c r="D9" s="23" t="str">
        <x:v>已投递</x:v>
      </x:c>
      <x:c r="E9" s="23" t="str">
        <x:v>南京运梦科技</x:v>
      </x:c>
      <x:c r="F9" s="23" t="str">
        <x:v>AI企业应用</x:v>
      </x:c>
      <x:c r="G9" s="23" t="str">
        <x:v>Agent全栈开发工程师</x:v>
      </x:c>
      <x:c r="H9" s="23" t="str">
        <x:v>南京</x:v>
      </x:c>
      <x:c r="I9" s="25" t="n">
        <x:f>ROUND(AB9*0.3+AC9*0.25+AD9*0.25+AE9*0.2-AF9,0)</x:f>
        <x:v>92</x:v>
      </x:c>
      <x:c r="J9" s="23" t="str">
        <x:v>高</x:v>
      </x:c>
      <x:c r="K9" s="23" t="str">
        <x:v>低</x:v>
      </x:c>
      <x:c r="L9" s="23" t="str">
        <x:v>未披露</x:v>
      </x:c>
      <x:c r="M9" s="23" t="str">
        <x:v>未披露</x:v>
      </x:c>
      <x:c r="N9" s="23" t="str">
        <x:v>未披露；加班情况需面试核验</x:v>
      </x:c>
      <x:c r="O9" s="23" t="str">
        <x:v>LangChain/AutoGen/Dify、Tool Use、RAG、企业知识库、微服务与SaaS业务系统集成。</x:v>
      </x:c>
      <x:c r="P9" s="23" t="str">
        <x:v>Agent工具调用、混合检索、企业系统集成、全栈和生产工程经验高度匹配。</x:v>
      </x:c>
      <x:c r="Q9" s="23" t="str">
        <x:v>公司规模与HC稳定性需核验；准备Dify/LangGraph框架取舍。</x:v>
      </x:c>
      <x:c r="R9" s="23" t="str">
        <x:v>邮件直投</x:v>
      </x:c>
      <x:c r="S9" s="23" t="str">
        <x:v>mailto:yunmeng_tech@163.com</x:v>
      </x:c>
      <x:c r="T9" s="23" t="str">
        <x:v>https://www.yunmengtech.com/careers/</x:v>
      </x:c>
      <x:c r="U9" s="23" t="str">
        <x:v>无公开码；邮箱 yunmeng_tech@163.com</x:v>
      </x:c>
      <x:c r="V9" s="23" t="str">
        <x:v>A</x:v>
      </x:c>
      <x:c r="W9" s="24" t="n">
        <x:v>46023</x:v>
      </x:c>
      <x:c r="X9" s="24" t="n">
        <x:v>46262</x:v>
      </x:c>
      <x:c r="Y9" s="23" t="str">
        <x:v>5个工作日后跟进</x:v>
      </x:c>
      <x:c r="Z9" s="24" t="n">
        <x:v>46261</x:v>
      </x:c>
      <x:c r="AA9" s="23" t="str"/>
      <x:c r="AB9" s="23" t="n">
        <x:v>95</x:v>
      </x:c>
      <x:c r="AC9" s="23" t="n">
        <x:v>92</x:v>
      </x:c>
      <x:c r="AD9" s="23" t="n">
        <x:v>90</x:v>
      </x:c>
      <x:c r="AE9" s="23" t="n">
        <x:v>90</x:v>
      </x:c>
      <x:c r="AF9" s="23" t="n">
        <x:v>0</x:v>
      </x:c>
    </x:row>
    <x:row r="10" ht="66" customHeight="1">
      <x:c r="A10" s="23" t="str">
        <x:v>SZ004</x:v>
      </x:c>
      <x:c r="B10" s="23" t="str">
        <x:v>先投</x:v>
      </x:c>
      <x:c r="C10" s="23" t="str">
        <x:f>IF(B10="暂缓","HOLD",IF(I10&gt;=90,"S",IF(I10&gt;=82,"A",IF(I10&gt;=72,"B","C"))))</x:f>
        <x:v>S</x:v>
      </x:c>
      <x:c r="D10" s="23" t="str">
        <x:v>待本人确认</x:v>
      </x:c>
      <x:c r="E10" s="23" t="str">
        <x:v>Morgan Philips代招</x:v>
      </x:c>
      <x:c r="F10" s="23" t="str">
        <x:v>客户未披露</x:v>
      </x:c>
      <x:c r="G10" s="23" t="str">
        <x:v>AI大模型应用工程师（RAG与智能体）</x:v>
      </x:c>
      <x:c r="H10" s="23" t="str">
        <x:v>深圳</x:v>
      </x:c>
      <x:c r="I10" s="25" t="n">
        <x:f>ROUND(AB10*0.3+AC10*0.25+AD10*0.25+AE10*0.2-AF10,0)</x:f>
        <x:v>91</x:v>
      </x:c>
      <x:c r="J10" s="23" t="str">
        <x:v>高</x:v>
      </x:c>
      <x:c r="K10" s="23" t="str">
        <x:v>低</x:v>
      </x:c>
      <x:c r="L10" s="23" t="str">
        <x:v>未披露</x:v>
      </x:c>
      <x:c r="M10" s="23" t="str">
        <x:v>未披露</x:v>
      </x:c>
      <x:c r="N10" s="23" t="str">
        <x:v>未披露；加班情况需面试核验</x:v>
      </x:c>
      <x:c r="O10" s="23" t="str">
        <x:v>3-5年、硕士；RAG分块/检索/重排、Prompt A/B、Tool Calling、Agent规划/记忆/反思、Python/FastAPI。</x:v>
      </x:c>
      <x:c r="P10" s="23" t="str">
        <x:v>年限、硕士、混合检索、评测与Agent架构完全贴合。</x:v>
      </x:c>
      <x:c r="Q10" s="23" t="str">
        <x:v>客户与薪资未披露；先问用工主体、级别、驻场和目标城市是否有同客户岗。</x:v>
      </x:c>
      <x:c r="R10" s="23" t="str">
        <x:v>猎头官网</x:v>
      </x:c>
      <x:c r="S10" s="23" t="str">
        <x:v>https://jobs.morganphilips.cn/zh-cn/ai%E5%A4%A7%E6%A8%A1%E5%9E%8B%E5%BA%94%E7%94%A8%E5%B7%A5%E7%A8%8B%E5%B8%88-rag%E4%B8%8E%E6%99%BA%E8%83%BD%E4%BD%93%E6%96%B9%E5%90%91-shenzhen-153501/</x:v>
      </x:c>
      <x:c r="T10" s="23" t="str">
        <x:v>https://jobs.morganphilips.cn/zh-cn/ai%E5%A4%A7%E6%A8%A1%E5%9E%8B%E5%BA%94%E7%94%A8%E5%B7%A5%E7%A8%8B%E5%B8%88-rag%E4%B8%8E%E6%99%BA%E8%83%BD%E4%BD%93%E6%96%B9%E5%90%91-shenzhen-153501/</x:v>
      </x:c>
      <x:c r="U10" s="23" t="str">
        <x:v>无可核验公开码</x:v>
      </x:c>
      <x:c r="V10" s="23" t="str">
        <x:v>B</x:v>
      </x:c>
      <x:c r="W10" s="24" t="n">
        <x:v>46184</x:v>
      </x:c>
      <x:c r="X10" s="24" t="n">
        <x:v>46262</x:v>
      </x:c>
      <x:c r="Y10" s="23" t="str">
        <x:v>本人打开页面确认记录；必要时再点一次提交</x:v>
      </x:c>
      <x:c r="Z10" s="24"/>
      <x:c r="AA10" s="23" t="str"/>
      <x:c r="AB10" s="23" t="n">
        <x:v>96</x:v>
      </x:c>
      <x:c r="AC10" s="23" t="n">
        <x:v>98</x:v>
      </x:c>
      <x:c r="AD10" s="23" t="n">
        <x:v>90</x:v>
      </x:c>
      <x:c r="AE10" s="23" t="n">
        <x:v>95</x:v>
      </x:c>
      <x:c r="AF10" s="23" t="n">
        <x:v>4</x:v>
      </x:c>
    </x:row>
    <x:row r="11" ht="66" customHeight="1">
      <x:c r="A11" s="23" t="str">
        <x:v>SZ008</x:v>
      </x:c>
      <x:c r="B11" s="23" t="str">
        <x:v>先投</x:v>
      </x:c>
      <x:c r="C11" s="23" t="str">
        <x:f>IF(B11="暂缓","HOLD",IF(I11&gt;=90,"S",IF(I11&gt;=82,"A",IF(I11&gt;=72,"B","C"))))</x:f>
        <x:v>S</x:v>
      </x:c>
      <x:c r="D11" s="23" t="str">
        <x:v>暂停招聘</x:v>
      </x:c>
      <x:c r="E11" s="23" t="str">
        <x:v>绿联科技 UGREEN</x:v>
      </x:c>
      <x:c r="F11" s="23" t="str">
        <x:v>NAS业务</x:v>
      </x:c>
      <x:c r="G11" s="23" t="str">
        <x:v>AI Agent前端开发工程师</x:v>
      </x:c>
      <x:c r="H11" s="23" t="str">
        <x:v>深圳</x:v>
      </x:c>
      <x:c r="I11" s="25" t="n">
        <x:f>ROUND(AB11*0.3+AC11*0.25+AD11*0.25+AE11*0.2-AF11,0)</x:f>
        <x:v>91</x:v>
      </x:c>
      <x:c r="J11" s="23" t="str">
        <x:v>高</x:v>
      </x:c>
      <x:c r="K11" s="23" t="str">
        <x:v>低</x:v>
      </x:c>
      <x:c r="L11" s="23" t="str">
        <x:v>20–35K × 14薪</x:v>
      </x:c>
      <x:c r="M11" s="23" t="str">
        <x:v>未披露</x:v>
      </x:c>
      <x:c r="N11" s="23" t="str">
        <x:v>未披露；加班情况需面试核验</x:v>
      </x:c>
      <x:c r="O11" s="23" t="str">
        <x:v>1-3年；Agent前端+Node服务、规划编排、Tool/Function Calling、Skill/MCP、上下文/记忆/RAG。</x:v>
      </x:c>
      <x:c r="P11" s="23" t="str">
        <x:v>React/JavaScript、SSE、MCP、Agent和全栈经验非常适配。</x:v>
      </x:c>
      <x:c r="Q11" s="23" t="str">
        <x:v>岗位名偏前端；确认Agent核心/后端占比及年限倒挂。</x:v>
      </x:c>
      <x:c r="R11" s="23" t="str">
        <x:v>猎聘</x:v>
      </x:c>
      <x:c r="S11" s="23" t="str">
        <x:v>https://www.liepin.com/job/1983680297.shtml</x:v>
      </x:c>
      <x:c r="T11" s="23" t="str">
        <x:v>https://www.liepin.com/job/1983680297.shtml</x:v>
      </x:c>
      <x:c r="U11" s="23" t="str">
        <x:v>无可核验公开码</x:v>
      </x:c>
      <x:c r="V11" s="23" t="str">
        <x:v>B</x:v>
      </x:c>
      <x:c r="W11" s="24" t="n">
        <x:v>46197</x:v>
      </x:c>
      <x:c r="X11" s="24" t="n">
        <x:v>46262</x:v>
      </x:c>
      <x:c r="Y11" s="23" t="str">
        <x:v>停止投递；保留岗位画像用于复习</x:v>
      </x:c>
      <x:c r="Z11" s="24"/>
      <x:c r="AA11" s="23" t="str"/>
      <x:c r="AB11" s="23" t="n">
        <x:v>96</x:v>
      </x:c>
      <x:c r="AC11" s="23" t="n">
        <x:v>90</x:v>
      </x:c>
      <x:c r="AD11" s="23" t="n">
        <x:v>92</x:v>
      </x:c>
      <x:c r="AE11" s="23" t="n">
        <x:v>82</x:v>
      </x:c>
      <x:c r="AF11" s="23" t="n">
        <x:v>0</x:v>
      </x:c>
    </x:row>
    <x:row r="12" ht="66" customHeight="1">
      <x:c r="A12" s="23" t="str">
        <x:v>B001</x:v>
      </x:c>
      <x:c r="B12" s="23" t="str">
        <x:v>先投</x:v>
      </x:c>
      <x:c r="C12" s="23" t="str">
        <x:f>IF(B12="暂缓","HOLD",IF(I12&gt;=90,"S",IF(I12&gt;=82,"A",IF(I12&gt;=72,"B","C"))))</x:f>
        <x:v>S</x:v>
      </x:c>
      <x:c r="D12" s="23" t="str">
        <x:v>已投递</x:v>
      </x:c>
      <x:c r="E12" s="23" t="str">
        <x:v>京东</x:v>
      </x:c>
      <x:c r="F12" s="23" t="str">
        <x:v>国际化AI产品研发部</x:v>
      </x:c>
      <x:c r="G12" s="23" t="str">
        <x:v>大模型应用算法/开发专家（Agent方向）</x:v>
      </x:c>
      <x:c r="H12" s="23" t="str">
        <x:v>北京</x:v>
      </x:c>
      <x:c r="I12" s="25" t="n">
        <x:f>ROUND(AB12*0.3+AC12*0.25+AD12*0.25+AE12*0.2-AF12,0)</x:f>
        <x:v>90</x:v>
      </x:c>
      <x:c r="J12" s="23" t="str">
        <x:v>高</x:v>
      </x:c>
      <x:c r="K12" s="23" t="str">
        <x:v>中</x:v>
      </x:c>
      <x:c r="L12" s="23" t="str">
        <x:v>未披露</x:v>
      </x:c>
      <x:c r="M12" s="23" t="str">
        <x:v>未披露</x:v>
      </x:c>
      <x:c r="N12" s="23" t="str">
        <x:v>未披露；加班情况需面试核验</x:v>
      </x:c>
      <x:c r="O12" s="23" t="str">
        <x:v>Agent Runtime、模型网关、上下文/工具注册、RAG、Streaming、语义缓存、Eval、Trace/Metric/Log、高并发与稳定性。</x:v>
      </x:c>
      <x:c r="P12" s="23" t="str">
        <x:v>混合检索、Evidence Gate、Evaluator、MCP、SSE和生产后端几乎逐项对应。</x:v>
      </x:c>
      <x:c r="Q12" s="23" t="str">
        <x:v>专家岗可能追问平台级Owner深度；补规模数据和Python/Go生产代码。</x:v>
      </x:c>
      <x:c r="R12" s="23" t="str">
        <x:v>京东招聘官网（需登录）</x:v>
      </x:c>
      <x:c r="S12" s="23" t="str">
        <x:v>https://zhaopin.jd.com/web/job-info-detail?requementId=219681</x:v>
      </x:c>
      <x:c r="T12" s="23" t="str">
        <x:v>https://zhaopin.jd.com/web/job-info-detail?requementId=219681</x:v>
      </x:c>
      <x:c r="U12" s="23" t="str">
        <x:v>无可核验公开码</x:v>
      </x:c>
      <x:c r="V12" s="23" t="str">
        <x:v>A</x:v>
      </x:c>
      <x:c r="W12" s="24" t="n">
        <x:v>46197</x:v>
      </x:c>
      <x:c r="X12" s="24" t="n">
        <x:v>46262</x:v>
      </x:c>
      <x:c r="Y12" s="23" t="str">
        <x:v>等待回执；准备平台级Agent系统设计</x:v>
      </x:c>
      <x:c r="Z12" s="24" t="n">
        <x:v>46261</x:v>
      </x:c>
      <x:c r="AA12" s="23" t="str"/>
      <x:c r="AB12" s="23" t="n">
        <x:v>98</x:v>
      </x:c>
      <x:c r="AC12" s="23" t="n">
        <x:v>96</x:v>
      </x:c>
      <x:c r="AD12" s="23" t="n">
        <x:v>96</x:v>
      </x:c>
      <x:c r="AE12" s="23" t="n">
        <x:v>78</x:v>
      </x:c>
      <x:c r="AF12" s="23" t="n">
        <x:v>3</x:v>
      </x:c>
    </x:row>
    <x:row r="13" ht="66" customHeight="1">
      <x:c r="A13" s="23" t="str">
        <x:v>B002</x:v>
      </x:c>
      <x:c r="B13" s="23" t="str">
        <x:v>先投</x:v>
      </x:c>
      <x:c r="C13" s="23" t="str">
        <x:f>IF(B13="暂缓","HOLD",IF(I13&gt;=90,"S",IF(I13&gt;=82,"A",IF(I13&gt;=72,"B","C"))))</x:f>
        <x:v>S</x:v>
      </x:c>
      <x:c r="D13" s="23" t="str">
        <x:v>待本人手工</x:v>
      </x:c>
      <x:c r="E13" s="23" t="str">
        <x:v>百度</x:v>
      </x:c>
      <x:c r="F13" s="23" t="str">
        <x:v>安全与企业效能平台</x:v>
      </x:c>
      <x:c r="G13" s="23" t="str">
        <x:v>AI应用工程师（J101300）</x:v>
      </x:c>
      <x:c r="H13" s="23" t="str">
        <x:v>北京</x:v>
      </x:c>
      <x:c r="I13" s="25" t="n">
        <x:f>ROUND(AB13*0.3+AC13*0.25+AD13*0.25+AE13*0.2-AF13,0)</x:f>
        <x:v>90</x:v>
      </x:c>
      <x:c r="J13" s="23" t="str">
        <x:v>高</x:v>
      </x:c>
      <x:c r="K13" s="23" t="str">
        <x:v>中</x:v>
      </x:c>
      <x:c r="L13" s="23" t="str">
        <x:v>未披露</x:v>
      </x:c>
      <x:c r="M13" s="23" t="str">
        <x:v>未披露</x:v>
      </x:c>
      <x:c r="N13" s="23" t="str">
        <x:v>未披露；加班情况需面试核验</x:v>
      </x:c>
      <x:c r="O13" s="23" t="str">
        <x:v>企业IT/安全/工程场景Agent、知识库、工作流与内部系统集成；2年以上，Python/Go，向量库/知识库。</x:v>
      </x:c>
      <x:c r="P13" s="23" t="str">
        <x:v>年限、Agent工程、检索、企业流程集成和生产稳定性匹配。</x:v>
      </x:c>
      <x:c r="Q13" s="23" t="str">
        <x:v>岗位偏Python/Go；简历中需突出Python实践与权限/安全边界。</x:v>
      </x:c>
      <x:c r="R13" s="23" t="str">
        <x:v>百度招聘官网</x:v>
      </x:c>
      <x:c r="S13" s="23" t="str">
        <x:v>https://talent.baidu.com/jobs/detail/SOCIAL/b286456b-922b-4ff3-9da0-0e8855443ba0</x:v>
      </x:c>
      <x:c r="T13" s="23" t="str">
        <x:v>https://talent.baidu.com/jobs/detail/SOCIAL/b286456b-922b-4ff3-9da0-0e8855443ba0</x:v>
      </x:c>
      <x:c r="U13" s="23" t="str">
        <x:v>无可核验公开码</x:v>
      </x:c>
      <x:c r="V13" s="23" t="str">
        <x:v>A</x:v>
      </x:c>
      <x:c r="W13" s="24" t="n">
        <x:v>46224</x:v>
      </x:c>
      <x:c r="X13" s="24" t="n">
        <x:v>46262</x:v>
      </x:c>
      <x:c r="Y13" s="23" t="str">
        <x:v>本人在百度招聘官网手工投递</x:v>
      </x:c>
      <x:c r="Z13" s="24"/>
      <x:c r="AA13" s="23" t="str"/>
      <x:c r="AB13" s="23" t="n">
        <x:v>94</x:v>
      </x:c>
      <x:c r="AC13" s="23" t="n">
        <x:v>92</x:v>
      </x:c>
      <x:c r="AD13" s="23" t="n">
        <x:v>93</x:v>
      </x:c>
      <x:c r="AE13" s="23" t="n">
        <x:v>95</x:v>
      </x:c>
      <x:c r="AF13" s="23" t="n">
        <x:v>3</x:v>
      </x:c>
    </x:row>
    <x:row r="14" ht="66" customHeight="1">
      <x:c r="A14" s="23" t="str">
        <x:v>N010</x:v>
      </x:c>
      <x:c r="B14" s="23" t="str">
        <x:v>先投</x:v>
      </x:c>
      <x:c r="C14" s="23" t="str">
        <x:f>IF(B14="暂缓","HOLD",IF(I14&gt;=90,"S",IF(I14&gt;=82,"A",IF(I14&gt;=72,"B","C"))))</x:f>
        <x:v>S</x:v>
      </x:c>
      <x:c r="D14" s="23" t="str">
        <x:v>已投递</x:v>
      </x:c>
      <x:c r="E14" s="23" t="str">
        <x:v>光庭信息</x:v>
      </x:c>
      <x:c r="F14" s="23" t="str">
        <x:v>智能开发平台</x:v>
      </x:c>
      <x:c r="G14" s="23" t="str">
        <x:v>后端开发工程师（AI应用方向）</x:v>
      </x:c>
      <x:c r="H14" s="23" t="str">
        <x:v>武汉</x:v>
      </x:c>
      <x:c r="I14" s="25" t="n">
        <x:f>ROUND(AB14*0.3+AC14*0.25+AD14*0.25+AE14*0.2-AF14,0)</x:f>
        <x:v>90</x:v>
      </x:c>
      <x:c r="J14" s="23" t="str">
        <x:v>高</x:v>
      </x:c>
      <x:c r="K14" s="23" t="str">
        <x:v>低</x:v>
      </x:c>
      <x:c r="L14" s="23" t="str">
        <x:v>未披露</x:v>
      </x:c>
      <x:c r="M14" s="23" t="str">
        <x:v>未披露</x:v>
      </x:c>
      <x:c r="N14" s="23" t="str">
        <x:v>未披露；加班情况需面试核验</x:v>
      </x:c>
      <x:c r="O14" s="23" t="str">
        <x:v>AI Agent核心研发；需求-设计-实现-测试可追溯；智能代理设计、实现与编排，支撑智能开发。</x:v>
      </x:c>
      <x:c r="P14" s="23" t="str">
        <x:v>Commit回归调查Agent、工程全链路、Agent编排、评测和大型研发流程经验高度贴合。</x:v>
      </x:c>
      <x:c r="Q14" s="23" t="str">
        <x:v>公开JD信息颗粒度有限；核验主语言、薪资、汽车软件领域要求。</x:v>
      </x:c>
      <x:c r="R14" s="23" t="str">
        <x:v>智联招聘</x:v>
      </x:c>
      <x:c r="S14" s="23" t="str">
        <x:v>https://www.zhaopin.com/jobdetail/CC534400620J40786032916.htm</x:v>
      </x:c>
      <x:c r="T14" s="23" t="str">
        <x:v>https://www.zhaopin.com/jobdetail/CC534400620J40786032916.htm</x:v>
      </x:c>
      <x:c r="U14" s="23" t="str">
        <x:v>无可核验公开码</x:v>
      </x:c>
      <x:c r="V14" s="23" t="str">
        <x:v>B</x:v>
      </x:c>
      <x:c r="W14" s="24"/>
      <x:c r="X14" s="24" t="n">
        <x:v>46262</x:v>
      </x:c>
      <x:c r="Y14" s="23" t="str">
        <x:v>等待回执；3–5个工作日后跟进</x:v>
      </x:c>
      <x:c r="Z14" s="24" t="n">
        <x:v>46261</x:v>
      </x:c>
      <x:c r="AA14" s="23" t="str"/>
      <x:c r="AB14" s="23" t="n">
        <x:v>97</x:v>
      </x:c>
      <x:c r="AC14" s="23" t="n">
        <x:v>84</x:v>
      </x:c>
      <x:c r="AD14" s="23" t="n">
        <x:v>95</x:v>
      </x:c>
      <x:c r="AE14" s="23" t="n">
        <x:v>90</x:v>
      </x:c>
      <x:c r="AF14" s="23" t="n">
        <x:v>2</x:v>
      </x:c>
    </x:row>
    <x:row r="15" ht="66" customHeight="1">
      <x:c r="A15" s="23" t="str">
        <x:v>B003</x:v>
      </x:c>
      <x:c r="B15" s="23" t="str">
        <x:v>先投</x:v>
      </x:c>
      <x:c r="C15" s="23" t="str">
        <x:f>IF(B15="暂缓","HOLD",IF(I15&gt;=90,"S",IF(I15&gt;=82,"A",IF(I15&gt;=72,"B","C"))))</x:f>
        <x:v>A</x:v>
      </x:c>
      <x:c r="D15" s="23" t="str">
        <x:v>待本人手工</x:v>
      </x:c>
      <x:c r="E15" s="23" t="str">
        <x:v>百度</x:v>
      </x:c>
      <x:c r="F15" s="23" t="str">
        <x:v>ACG / DuMate</x:v>
      </x:c>
      <x:c r="G15" s="23" t="str">
        <x:v>Agent后端研发工程师（J103882）</x:v>
      </x:c>
      <x:c r="H15" s="23" t="str">
        <x:v>北京</x:v>
      </x:c>
      <x:c r="I15" s="25" t="n">
        <x:f>ROUND(AB15*0.3+AC15*0.25+AD15*0.25+AE15*0.2-AF15,0)</x:f>
        <x:v>89</x:v>
      </x:c>
      <x:c r="J15" s="23" t="str">
        <x:v>高</x:v>
      </x:c>
      <x:c r="K15" s="23" t="str">
        <x:v>中</x:v>
      </x:c>
      <x:c r="L15" s="23" t="str">
        <x:v>未披露</x:v>
      </x:c>
      <x:c r="M15" s="23" t="str">
        <x:v>未披露</x:v>
      </x:c>
      <x:c r="N15" s="23" t="str">
        <x:v>未披露；加班情况需面试核验</x:v>
      </x:c>
      <x:c r="O15" s="23" t="str">
        <x:v>Agent网关、推理链路、高性能链路、数据闭环、Agent Infra/Harness、测试部署运维。</x:v>
      </x:c>
      <x:c r="P15" s="23" t="str">
        <x:v>Agent Harness、可观测、闭环评测和后端系统能力强。</x:v>
      </x:c>
      <x:c r="Q15" s="23" t="str">
        <x:v>官网JD信息不完整；先核验主语言、职级和是否共享候选人。</x:v>
      </x:c>
      <x:c r="R15" s="23" t="str">
        <x:v>百度招聘官网</x:v>
      </x:c>
      <x:c r="S15" s="23" t="str">
        <x:v>https://talent.baidu.com/jobs/detail/SOCIAL/d1876313-6604-4e8d-bbcc-0dca5be4e51b</x:v>
      </x:c>
      <x:c r="T15" s="23" t="str">
        <x:v>https://talent.baidu.com/jobs/detail/SOCIAL/d1876313-6604-4e8d-bbcc-0dca5be4e51b</x:v>
      </x:c>
      <x:c r="U15" s="23" t="str">
        <x:v>无可核验公开码</x:v>
      </x:c>
      <x:c r="V15" s="23" t="str">
        <x:v>A</x:v>
      </x:c>
      <x:c r="W15" s="24" t="n">
        <x:v>46232</x:v>
      </x:c>
      <x:c r="X15" s="24" t="n">
        <x:v>46262</x:v>
      </x:c>
      <x:c r="Y15" s="23" t="str">
        <x:v>本人在百度招聘官网手工投递</x:v>
      </x:c>
      <x:c r="Z15" s="24"/>
      <x:c r="AA15" s="23" t="str"/>
      <x:c r="AB15" s="23" t="n">
        <x:v>96</x:v>
      </x:c>
      <x:c r="AC15" s="23" t="n">
        <x:v>84</x:v>
      </x:c>
      <x:c r="AD15" s="23" t="n">
        <x:v>97</x:v>
      </x:c>
      <x:c r="AE15" s="23" t="n">
        <x:v>92</x:v>
      </x:c>
      <x:c r="AF15" s="23" t="n">
        <x:v>3</x:v>
      </x:c>
    </x:row>
    <x:row r="16" ht="66" customHeight="1">
      <x:c r="A16" s="23" t="str">
        <x:v>N006</x:v>
      </x:c>
      <x:c r="B16" s="23" t="str">
        <x:v>先投</x:v>
      </x:c>
      <x:c r="C16" s="23" t="str">
        <x:f>IF(B16="暂缓","HOLD",IF(I16&gt;=90,"S",IF(I16&gt;=82,"A",IF(I16&gt;=72,"B","C"))))</x:f>
        <x:v>A</x:v>
      </x:c>
      <x:c r="D16" s="23" t="str">
        <x:v>已投递</x:v>
      </x:c>
      <x:c r="E16" s="23" t="str">
        <x:v>重庆青竹数智科技</x:v>
      </x:c>
      <x:c r="F16" s="23" t="str">
        <x:v>AI应用</x:v>
      </x:c>
      <x:c r="G16" s="23" t="str">
        <x:v>AI大模型应用工程师</x:v>
      </x:c>
      <x:c r="H16" s="23" t="str">
        <x:v>重庆</x:v>
      </x:c>
      <x:c r="I16" s="25" t="n">
        <x:f>ROUND(AB16*0.3+AC16*0.25+AD16*0.25+AE16*0.2-AF16,0)</x:f>
        <x:v>89</x:v>
      </x:c>
      <x:c r="J16" s="23" t="str">
        <x:v>高</x:v>
      </x:c>
      <x:c r="K16" s="23" t="str">
        <x:v>低</x:v>
      </x:c>
      <x:c r="L16" s="23" t="str">
        <x:v>未披露</x:v>
      </x:c>
      <x:c r="M16" s="23" t="str">
        <x:v>未披露</x:v>
      </x:c>
      <x:c r="N16" s="23" t="str">
        <x:v>未披露；加班情况需面试核验</x:v>
      </x:c>
      <x:c r="O16" s="23" t="str">
        <x:v>1-3年、本科；LLM应用、RAG/智能检索、Prompt、接口联调、测试上线与维护。</x:v>
      </x:c>
      <x:c r="P16" s="23" t="str">
        <x:v>RAG检索、Prompt/Context、后端联调、测试与生产维护都能直接讲。</x:v>
      </x:c>
      <x:c r="Q16" s="23" t="str">
        <x:v>可能偏项目交付；核验薪资、团队规模和长期Agent路线。</x:v>
      </x:c>
      <x:c r="R16" s="23" t="str">
        <x:v>智联招聘</x:v>
      </x:c>
      <x:c r="S16" s="23" t="str">
        <x:v>https://www.zhaopin.com/jobdetail/CCL1282329150J40837063709.htm</x:v>
      </x:c>
      <x:c r="T16" s="23" t="str">
        <x:v>https://www.zhaopin.com/jobdetail/CCL1282329150J40837063709.htm</x:v>
      </x:c>
      <x:c r="U16" s="23" t="str">
        <x:v>无可核验公开码</x:v>
      </x:c>
      <x:c r="V16" s="23" t="str">
        <x:v>B</x:v>
      </x:c>
      <x:c r="W16" s="24"/>
      <x:c r="X16" s="24" t="n">
        <x:v>46262</x:v>
      </x:c>
      <x:c r="Y16" s="23" t="str">
        <x:v>等待回执；3–5个工作日后跟进</x:v>
      </x:c>
      <x:c r="Z16" s="24" t="n">
        <x:v>46261</x:v>
      </x:c>
      <x:c r="AA16" s="23" t="str"/>
      <x:c r="AB16" s="23" t="n">
        <x:v>88</x:v>
      </x:c>
      <x:c r="AC16" s="23" t="n">
        <x:v>94</x:v>
      </x:c>
      <x:c r="AD16" s="23" t="n">
        <x:v>90</x:v>
      </x:c>
      <x:c r="AE16" s="23" t="n">
        <x:v>82</x:v>
      </x:c>
      <x:c r="AF16" s="23" t="n">
        <x:v>0</x:v>
      </x:c>
    </x:row>
    <x:row r="17" ht="66" customHeight="1">
      <x:c r="A17" s="23" t="str">
        <x:v>ZL-A002</x:v>
      </x:c>
      <x:c r="B17" s="23" t="str">
        <x:v>先投</x:v>
      </x:c>
      <x:c r="C17" s="23" t="str">
        <x:f>IF(B17="暂缓","HOLD",IF(I17&gt;=90,"S",IF(I17&gt;=82,"A",IF(I17&gt;=72,"B","C"))))</x:f>
        <x:v>A</x:v>
      </x:c>
      <x:c r="D17" s="23" t="str">
        <x:v>已投递</x:v>
      </x:c>
      <x:c r="E17" s="23" t="str">
        <x:v>北京亿智云科技有限公司</x:v>
      </x:c>
      <x:c r="F17" s="23" t="str">
        <x:v>政务智能体</x:v>
      </x:c>
      <x:c r="G17" s="23" t="str">
        <x:v>AI Agent开发工程师（政务智能体方向）</x:v>
      </x:c>
      <x:c r="H17" s="23" t="str">
        <x:v>北京</x:v>
      </x:c>
      <x:c r="I17" s="25" t="n">
        <x:f>ROUND(AB17*0.3+AC17*0.25+AD17*0.25+AE17*0.2-AF17,0)</x:f>
        <x:v>87</x:v>
      </x:c>
      <x:c r="J17" s="23" t="str">
        <x:v>高</x:v>
      </x:c>
      <x:c r="K17" s="23" t="str">
        <x:v>低</x:v>
      </x:c>
      <x:c r="L17" s="23" t="str">
        <x:v>未披露</x:v>
      </x:c>
      <x:c r="M17" s="23" t="str">
        <x:v>未披露</x:v>
      </x:c>
      <x:c r="N17" s="23" t="str">
        <x:v>未披露；加班情况需面试核验</x:v>
      </x:c>
      <x:c r="O17" s="23" t="str">
        <x:v>执行包未保留完整JD；投前/面试前需重新核验。按方向重点准备政务知识库、权限审计、引用溯源与企业系统集成。</x:v>
      </x:c>
      <x:c r="P17" s="23" t="str">
        <x:v>企业AI、证据门禁、权限边界和可观测经验可迁移。</x:v>
      </x:c>
      <x:c r="Q17" s="23" t="str">
        <x:v>政务项目交付、信创与数据合规要求需核验。</x:v>
      </x:c>
      <x:c r="R17" s="23" t="str">
        <x:v>智联招聘</x:v>
      </x:c>
      <x:c r="S17" s="23" t="str">
        <x:v>https://www.zhaopin.com/jobdetail/CC844803710J40914651403.htm</x:v>
      </x:c>
      <x:c r="T17" s="23" t="str">
        <x:v>https://www.zhaopin.com/jobdetail/CC844803710J40914651403.htm</x:v>
      </x:c>
      <x:c r="U17" s="23" t="str">
        <x:v>无可核验公开码</x:v>
      </x:c>
      <x:c r="V17" s="23" t="str">
        <x:v>B</x:v>
      </x:c>
      <x:c r="W17" s="24"/>
      <x:c r="X17" s="24" t="n">
        <x:v>46262</x:v>
      </x:c>
      <x:c r="Y17" s="23" t="str">
        <x:v>等待回执；准备政务知识库与安全</x:v>
      </x:c>
      <x:c r="Z17" s="24" t="n">
        <x:v>46261</x:v>
      </x:c>
      <x:c r="AA17" s="23" t="str"/>
      <x:c r="AB17" s="23" t="n">
        <x:v>92</x:v>
      </x:c>
      <x:c r="AC17" s="23" t="n">
        <x:v>90</x:v>
      </x:c>
      <x:c r="AD17" s="23" t="n">
        <x:v>88</x:v>
      </x:c>
      <x:c r="AE17" s="23" t="n">
        <x:v>85</x:v>
      </x:c>
      <x:c r="AF17" s="23" t="n">
        <x:v>2</x:v>
      </x:c>
    </x:row>
    <x:row r="18" ht="66" customHeight="1">
      <x:c r="A18" s="23" t="str">
        <x:v>ZL-A006</x:v>
      </x:c>
      <x:c r="B18" s="23" t="str">
        <x:v>先投</x:v>
      </x:c>
      <x:c r="C18" s="23" t="str">
        <x:f>IF(B18="暂缓","HOLD",IF(I18&gt;=90,"S",IF(I18&gt;=82,"A",IF(I18&gt;=72,"B","C"))))</x:f>
        <x:v>A</x:v>
      </x:c>
      <x:c r="D18" s="23" t="str">
        <x:v>已投递</x:v>
      </x:c>
      <x:c r="E18" s="23" t="str">
        <x:v>北京赛迪时代信息产业股份有限公司</x:v>
      </x:c>
      <x:c r="F18" s="23" t="str">
        <x:v>大模型应用</x:v>
      </x:c>
      <x:c r="G18" s="23" t="str">
        <x:v>大模型应用开发工程师</x:v>
      </x:c>
      <x:c r="H18" s="23" t="str">
        <x:v>北京</x:v>
      </x:c>
      <x:c r="I18" s="25" t="n">
        <x:f>ROUND(AB18*0.3+AC18*0.25+AD18*0.25+AE18*0.2-AF18,0)</x:f>
        <x:v>87</x:v>
      </x:c>
      <x:c r="J18" s="23" t="str">
        <x:v>高</x:v>
      </x:c>
      <x:c r="K18" s="23" t="str">
        <x:v>低</x:v>
      </x:c>
      <x:c r="L18" s="23" t="str">
        <x:v>未披露</x:v>
      </x:c>
      <x:c r="M18" s="23" t="str">
        <x:v>未披露</x:v>
      </x:c>
      <x:c r="N18" s="23" t="str">
        <x:v>未披露；加班情况需面试核验</x:v>
      </x:c>
      <x:c r="O18" s="23" t="str">
        <x:v>执行包未保留完整JD；重点准备大模型应用架构、RAG、Agent、企业知识库、部署运维和安全治理。</x:v>
      </x:c>
      <x:c r="P18" s="23" t="str">
        <x:v>企业级Agent/RAG、可观测、K8s和全栈经历相关。</x:v>
      </x:c>
      <x:c r="Q18" s="23" t="str">
        <x:v>需核验是否偏政企交付、驻场，以及主语言和模型部署要求。</x:v>
      </x:c>
      <x:c r="R18" s="23" t="str">
        <x:v>智联招聘</x:v>
      </x:c>
      <x:c r="S18" s="23" t="str">
        <x:v>https://www.zhaopin.com/jobdetail/CC000441110J40857983309.htm</x:v>
      </x:c>
      <x:c r="T18" s="23" t="str">
        <x:v>https://www.zhaopin.com/jobdetail/CC000441110J40857983309.htm</x:v>
      </x:c>
      <x:c r="U18" s="23" t="str">
        <x:v>无可核验公开码</x:v>
      </x:c>
      <x:c r="V18" s="23" t="str">
        <x:v>B</x:v>
      </x:c>
      <x:c r="W18" s="24"/>
      <x:c r="X18" s="24" t="n">
        <x:v>46262</x:v>
      </x:c>
      <x:c r="Y18" s="23" t="str">
        <x:v>等待回执；核验政企交付/驻场</x:v>
      </x:c>
      <x:c r="Z18" s="24" t="n">
        <x:v>46261</x:v>
      </x:c>
      <x:c r="AA18" s="23" t="str"/>
      <x:c r="AB18" s="23" t="n">
        <x:v>90</x:v>
      </x:c>
      <x:c r="AC18" s="23" t="n">
        <x:v>90</x:v>
      </x:c>
      <x:c r="AD18" s="23" t="n">
        <x:v>90</x:v>
      </x:c>
      <x:c r="AE18" s="23" t="n">
        <x:v>85</x:v>
      </x:c>
      <x:c r="AF18" s="23" t="n">
        <x:v>2</x:v>
      </x:c>
    </x:row>
    <x:row r="19" ht="66" customHeight="1">
      <x:c r="A19" s="23" t="str">
        <x:v>ZL-A001</x:v>
      </x:c>
      <x:c r="B19" s="23" t="str">
        <x:v>先投</x:v>
      </x:c>
      <x:c r="C19" s="23" t="str">
        <x:f>IF(B19="暂缓","HOLD",IF(I19&gt;=90,"S",IF(I19&gt;=82,"A",IF(I19&gt;=72,"B","C"))))</x:f>
        <x:v>A</x:v>
      </x:c>
      <x:c r="D19" s="23" t="str">
        <x:v>已投递</x:v>
      </x:c>
      <x:c r="E19" s="23" t="str">
        <x:v>深圳市瓴知智能科技有限公司</x:v>
      </x:c>
      <x:c r="F19" s="23" t="str">
        <x:v>未披露</x:v>
      </x:c>
      <x:c r="G19" s="23" t="str">
        <x:v>AI Agent应用开发工程师</x:v>
      </x:c>
      <x:c r="H19" s="23" t="str">
        <x:v>深圳</x:v>
      </x:c>
      <x:c r="I19" s="25" t="n">
        <x:f>ROUND(AB19*0.3+AC19*0.25+AD19*0.25+AE19*0.2-AF19,0)</x:f>
        <x:v>87</x:v>
      </x:c>
      <x:c r="J19" s="23" t="str">
        <x:v>高</x:v>
      </x:c>
      <x:c r="K19" s="23" t="str">
        <x:v>低</x:v>
      </x:c>
      <x:c r="L19" s="23" t="str">
        <x:v>未披露</x:v>
      </x:c>
      <x:c r="M19" s="23" t="str">
        <x:v>未披露</x:v>
      </x:c>
      <x:c r="N19" s="23" t="str">
        <x:v>未披露；加班情况需面试核验</x:v>
      </x:c>
      <x:c r="O19" s="23" t="str">
        <x:v>执行包未保留完整JD；投前/面试前需重新核验。按岗位名重点准备Agent编排、工具调用、RAG与Python服务化。</x:v>
      </x:c>
      <x:c r="P19" s="23" t="str">
        <x:v>Agent/RAG/MCP与生产后端经历直接相关。</x:v>
      </x:c>
      <x:c r="Q19" s="23" t="str">
        <x:v>完整JD、薪资、办公与工时均需二次核验。</x:v>
      </x:c>
      <x:c r="R19" s="23" t="str">
        <x:v>智联招聘</x:v>
      </x:c>
      <x:c r="S19" s="23" t="str">
        <x:v>https://www.zhaopin.com/jobdetail/CCL1522707210J40919026103.htm</x:v>
      </x:c>
      <x:c r="T19" s="23" t="str">
        <x:v>https://www.zhaopin.com/jobdetail/CCL1522707210J40919026103.htm</x:v>
      </x:c>
      <x:c r="U19" s="23" t="str">
        <x:v>无可核验公开码</x:v>
      </x:c>
      <x:c r="V19" s="23" t="str">
        <x:v>B</x:v>
      </x:c>
      <x:c r="W19" s="24"/>
      <x:c r="X19" s="24" t="n">
        <x:v>46262</x:v>
      </x:c>
      <x:c r="Y19" s="23" t="str">
        <x:v>等待回执；面试前回看完整JD</x:v>
      </x:c>
      <x:c r="Z19" s="24" t="n">
        <x:v>46261</x:v>
      </x:c>
      <x:c r="AA19" s="23" t="str"/>
      <x:c r="AB19" s="23" t="n">
        <x:v>94</x:v>
      </x:c>
      <x:c r="AC19" s="23" t="n">
        <x:v>88</x:v>
      </x:c>
      <x:c r="AD19" s="23" t="n">
        <x:v>88</x:v>
      </x:c>
      <x:c r="AE19" s="23" t="n">
        <x:v>85</x:v>
      </x:c>
      <x:c r="AF19" s="23" t="n">
        <x:v>2</x:v>
      </x:c>
    </x:row>
    <x:row r="20" ht="66" customHeight="1">
      <x:c r="A20" s="23" t="str">
        <x:v>N003</x:v>
      </x:c>
      <x:c r="B20" s="23" t="str">
        <x:v>先投</x:v>
      </x:c>
      <x:c r="C20" s="23" t="str">
        <x:f>IF(B20="暂缓","HOLD",IF(I20&gt;=90,"S",IF(I20&gt;=82,"A",IF(I20&gt;=72,"B","C"))))</x:f>
        <x:v>A</x:v>
      </x:c>
      <x:c r="D20" s="23" t="str">
        <x:v>已投递</x:v>
      </x:c>
      <x:c r="E20" s="23" t="str">
        <x:v>LingoAce（领格教育）</x:v>
      </x:c>
      <x:c r="F20" s="23" t="str">
        <x:v>全球教育业务 / 企业协同</x:v>
      </x:c>
      <x:c r="G20" s="23" t="str">
        <x:v>Agent/AI研发工程师（R20261869）</x:v>
      </x:c>
      <x:c r="H20" s="23" t="str">
        <x:v>武汉</x:v>
      </x:c>
      <x:c r="I20" s="25" t="n">
        <x:f>ROUND(AB20*0.3+AC20*0.25+AD20*0.25+AE20*0.2-AF20,0)</x:f>
        <x:v>87</x:v>
      </x:c>
      <x:c r="J20" s="23" t="str">
        <x:v>高</x:v>
      </x:c>
      <x:c r="K20" s="23" t="str">
        <x:v>中</x:v>
      </x:c>
      <x:c r="L20" s="23" t="str">
        <x:v>未披露</x:v>
      </x:c>
      <x:c r="M20" s="23" t="str">
        <x:v>未披露</x:v>
      </x:c>
      <x:c r="N20" s="23" t="str">
        <x:v>未披露；加班情况需面试核验</x:v>
      </x:c>
      <x:c r="O20" s="23" t="str">
        <x:v>5年以上后端、1年以上AI；精通Java；企业Agent框架、MCP/Skills、RAG、性能/成本/稳定性。</x:v>
      </x:c>
      <x:c r="P20" s="23" t="str">
        <x:v>微软大厂后端、MCP、RAG、Agent Eval和全球化协作很强。</x:v>
      </x:c>
      <x:c r="Q20" s="23" t="str">
        <x:v>你是4年而JD写5年；Java不是主力语言，需强调C#/分布式工程迁移。</x:v>
      </x:c>
      <x:c r="R20" s="23" t="str">
        <x:v>Workday官网</x:v>
      </x:c>
      <x:c r="S20" s="23" t="str">
        <x:v>https://pplingo.wd3.myworkdayjobs.com/en-US/External/job/Agent-AI_R20261869</x:v>
      </x:c>
      <x:c r="T20" s="23" t="str">
        <x:v>https://pplingo.wd3.myworkdayjobs.com/en-US/External/job/Agent-AI_R20261869</x:v>
      </x:c>
      <x:c r="U20" s="23" t="str">
        <x:v>无可核验公开码</x:v>
      </x:c>
      <x:c r="V20" s="23" t="str">
        <x:v>A</x:v>
      </x:c>
      <x:c r="W20" s="24"/>
      <x:c r="X20" s="24" t="n">
        <x:v>46262</x:v>
      </x:c>
      <x:c r="Y20" s="23" t="str">
        <x:v>等待回执；准备Java迁移与企业Agent稳定性</x:v>
      </x:c>
      <x:c r="Z20" s="24" t="n">
        <x:v>46261</x:v>
      </x:c>
      <x:c r="AA20" s="23" t="str">
        <x:v>同一雇主另有上海AI教育后端岗，但本岗仅武汉；如很在意上海机会，投前向HR确认候选人共享规则。</x:v>
      </x:c>
      <x:c r="AB20" s="23" t="n">
        <x:v>98</x:v>
      </x:c>
      <x:c r="AC20" s="23" t="n">
        <x:v>92</x:v>
      </x:c>
      <x:c r="AD20" s="23" t="n">
        <x:v>95</x:v>
      </x:c>
      <x:c r="AE20" s="23" t="n">
        <x:v>70</x:v>
      </x:c>
      <x:c r="AF20" s="23" t="n">
        <x:v>3</x:v>
      </x:c>
    </x:row>
    <x:row r="21" ht="66" customHeight="1">
      <x:c r="A21" s="23" t="str">
        <x:v>ZL-A005</x:v>
      </x:c>
      <x:c r="B21" s="23" t="str">
        <x:v>先投</x:v>
      </x:c>
      <x:c r="C21" s="23" t="str">
        <x:f>IF(B21="暂缓","HOLD",IF(I21&gt;=90,"S",IF(I21&gt;=82,"A",IF(I21&gt;=72,"B","C"))))</x:f>
        <x:v>A</x:v>
      </x:c>
      <x:c r="D21" s="23" t="str">
        <x:v>已投递</x:v>
      </x:c>
      <x:c r="E21" s="23" t="str">
        <x:v>合肥中贸科技有限公司</x:v>
      </x:c>
      <x:c r="F21" s="23" t="str">
        <x:v>AI应用</x:v>
      </x:c>
      <x:c r="G21" s="23" t="str">
        <x:v>AI Agent应用开发（Dify）</x:v>
      </x:c>
      <x:c r="H21" s="23" t="str">
        <x:v>合肥</x:v>
      </x:c>
      <x:c r="I21" s="25" t="n">
        <x:f>ROUND(AB21*0.3+AC21*0.25+AD21*0.25+AE21*0.2-AF21,0)</x:f>
        <x:v>86</x:v>
      </x:c>
      <x:c r="J21" s="23" t="str">
        <x:v>高</x:v>
      </x:c>
      <x:c r="K21" s="23" t="str">
        <x:v>低</x:v>
      </x:c>
      <x:c r="L21" s="23" t="str">
        <x:v>未披露</x:v>
      </x:c>
      <x:c r="M21" s="23" t="str">
        <x:v>未披露</x:v>
      </x:c>
      <x:c r="N21" s="23" t="str">
        <x:v>未披露；加班情况需面试核验</x:v>
      </x:c>
      <x:c r="O21" s="23" t="str">
        <x:v>执行包未保留完整JD；按岗位名重点准备Dify工作流、知识库、工具插件、模型路由与私有化部署。</x:v>
      </x:c>
      <x:c r="P21" s="23" t="str">
        <x:v>Agent/RAG、工具调用、K8s与企业集成经验可迁移。</x:v>
      </x:c>
      <x:c r="Q21" s="23" t="str">
        <x:v>需要补Dify节点编排、插件开发及平台边界的具体案例。</x:v>
      </x:c>
      <x:c r="R21" s="23" t="str">
        <x:v>智联招聘</x:v>
      </x:c>
      <x:c r="S21" s="23" t="str">
        <x:v>https://www.zhaopin.com/jobdetail/CCL1496573550J40902058113.htm</x:v>
      </x:c>
      <x:c r="T21" s="23" t="str">
        <x:v>https://www.zhaopin.com/jobdetail/CCL1496573550J40902058113.htm</x:v>
      </x:c>
      <x:c r="U21" s="23" t="str">
        <x:v>无可核验公开码</x:v>
      </x:c>
      <x:c r="V21" s="23" t="str">
        <x:v>B</x:v>
      </x:c>
      <x:c r="W21" s="24"/>
      <x:c r="X21" s="24" t="n">
        <x:v>46262</x:v>
      </x:c>
      <x:c r="Y21" s="23" t="str">
        <x:v>等待回执；补Dify平台问答</x:v>
      </x:c>
      <x:c r="Z21" s="24" t="n">
        <x:v>46261</x:v>
      </x:c>
      <x:c r="AA21" s="23" t="str"/>
      <x:c r="AB21" s="23" t="n">
        <x:v>90</x:v>
      </x:c>
      <x:c r="AC21" s="23" t="n">
        <x:v>88</x:v>
      </x:c>
      <x:c r="AD21" s="23" t="n">
        <x:v>86</x:v>
      </x:c>
      <x:c r="AE21" s="23" t="n">
        <x:v>85</x:v>
      </x:c>
      <x:c r="AF21" s="23" t="n">
        <x:v>2</x:v>
      </x:c>
    </x:row>
    <x:row r="22" ht="66" customHeight="1">
      <x:c r="A22" s="23" t="str">
        <x:v>ZL-A003</x:v>
      </x:c>
      <x:c r="B22" s="23" t="str">
        <x:v>先投</x:v>
      </x:c>
      <x:c r="C22" s="23" t="str">
        <x:f>IF(B22="暂缓","HOLD",IF(I22&gt;=90,"S",IF(I22&gt;=82,"A",IF(I22&gt;=72,"B","C"))))</x:f>
        <x:v>B</x:v>
      </x:c>
      <x:c r="D22" s="23" t="str">
        <x:v>已投递</x:v>
      </x:c>
      <x:c r="E22" s="23" t="str">
        <x:v>青矩技术股份有限公司</x:v>
      </x:c>
      <x:c r="F22" s="23" t="str">
        <x:v>未披露</x:v>
      </x:c>
      <x:c r="G22" s="23" t="str">
        <x:v>AI工程师</x:v>
      </x:c>
      <x:c r="H22" s="23" t="str">
        <x:v>北京</x:v>
      </x:c>
      <x:c r="I22" s="25" t="n">
        <x:f>ROUND(AB22*0.3+AC22*0.25+AD22*0.25+AE22*0.2-AF22,0)</x:f>
        <x:v>78</x:v>
      </x:c>
      <x:c r="J22" s="23" t="str">
        <x:v>中</x:v>
      </x:c>
      <x:c r="K22" s="23" t="str">
        <x:v>低</x:v>
      </x:c>
      <x:c r="L22" s="23" t="str">
        <x:v>未披露</x:v>
      </x:c>
      <x:c r="M22" s="23" t="str">
        <x:v>未披露</x:v>
      </x:c>
      <x:c r="N22" s="23" t="str">
        <x:v>未披露；加班情况需面试核验</x:v>
      </x:c>
      <x:c r="O22" s="23" t="str">
        <x:v>执行包只记录岗位名称，技术栈与职责未留存；面试前必须回看JD。</x:v>
      </x:c>
      <x:c r="P22" s="23" t="str">
        <x:v>大模型应用、Agent/RAG和企业工程背景具备通用匹配。</x:v>
      </x:c>
      <x:c r="Q22" s="23" t="str">
        <x:v>岗位范围过宽，需先确认偏算法、平台还是应用交付。</x:v>
      </x:c>
      <x:c r="R22" s="23" t="str">
        <x:v>智联招聘</x:v>
      </x:c>
      <x:c r="S22" s="23" t="str">
        <x:v>https://www.zhaopin.com/jobdetail/CC298846330J40851392614.htm</x:v>
      </x:c>
      <x:c r="T22" s="23" t="str">
        <x:v>https://www.zhaopin.com/jobdetail/CC298846330J40851392614.htm</x:v>
      </x:c>
      <x:c r="U22" s="23" t="str">
        <x:v>无可核验公开码</x:v>
      </x:c>
      <x:c r="V22" s="23" t="str">
        <x:v>C</x:v>
      </x:c>
      <x:c r="W22" s="24"/>
      <x:c r="X22" s="24" t="n">
        <x:v>46262</x:v>
      </x:c>
      <x:c r="Y22" s="23" t="str">
        <x:v>等待回执；先确认岗位技术方向</x:v>
      </x:c>
      <x:c r="Z22" s="24" t="n">
        <x:v>46261</x:v>
      </x:c>
      <x:c r="AA22" s="23" t="str"/>
      <x:c r="AB22" s="23" t="n">
        <x:v>82</x:v>
      </x:c>
      <x:c r="AC22" s="23" t="n">
        <x:v>80</x:v>
      </x:c>
      <x:c r="AD22" s="23" t="n">
        <x:v>86</x:v>
      </x:c>
      <x:c r="AE22" s="23" t="n">
        <x:v>85</x:v>
      </x:c>
      <x:c r="AF22" s="23" t="n">
        <x:v>5</x:v>
      </x:c>
    </x:row>
    <x:row r="23" ht="66" customHeight="1">
      <x:c r="A23" s="23" t="str">
        <x:v>ZL-A004</x:v>
      </x:c>
      <x:c r="B23" s="23" t="str">
        <x:v>先投</x:v>
      </x:c>
      <x:c r="C23" s="23" t="str">
        <x:f>IF(B23="暂缓","HOLD",IF(I23&gt;=90,"S",IF(I23&gt;=82,"A",IF(I23&gt;=72,"B","C"))))</x:f>
        <x:v>B</x:v>
      </x:c>
      <x:c r="D23" s="23" t="str">
        <x:v>已投递</x:v>
      </x:c>
      <x:c r="E23" s="23" t="str">
        <x:v>郑州联创优聘信息科技有限公司</x:v>
      </x:c>
      <x:c r="F23" s="23" t="str">
        <x:v>客户未披露</x:v>
      </x:c>
      <x:c r="G23" s="23" t="str">
        <x:v>AI应用开发工程师 AI Agent</x:v>
      </x:c>
      <x:c r="H23" s="23" t="str">
        <x:v>成都</x:v>
      </x:c>
      <x:c r="I23" s="25" t="n">
        <x:f>ROUND(AB23*0.3+AC23*0.25+AD23*0.25+AE23*0.2-AF23,0)</x:f>
        <x:v>78</x:v>
      </x:c>
      <x:c r="J23" s="23" t="str">
        <x:v>中</x:v>
      </x:c>
      <x:c r="K23" s="23" t="str">
        <x:v>低</x:v>
      </x:c>
      <x:c r="L23" s="23" t="str">
        <x:v>未披露</x:v>
      </x:c>
      <x:c r="M23" s="23" t="str">
        <x:v>未披露</x:v>
      </x:c>
      <x:c r="N23" s="23" t="str">
        <x:v>未披露；加班情况需面试核验</x:v>
      </x:c>
      <x:c r="O23" s="23" t="str">
        <x:v>执行包未保留完整JD；重点核验用工主体、客户、驻场，以及Agent/RAG/Python具体要求。</x:v>
      </x:c>
      <x:c r="P23" s="23" t="str">
        <x:v>Agent应用与后端交付经验可直接讲。</x:v>
      </x:c>
      <x:c r="Q23" s="23" t="str">
        <x:v>疑似招聘服务/代招，需确认真实雇主和项目稳定性。</x:v>
      </x:c>
      <x:c r="R23" s="23" t="str">
        <x:v>智联招聘</x:v>
      </x:c>
      <x:c r="S23" s="23" t="str">
        <x:v>https://www.zhaopin.com/jobdetail/CCL1314982440J40798234406.htm</x:v>
      </x:c>
      <x:c r="T23" s="23" t="str">
        <x:v>https://www.zhaopin.com/jobdetail/CCL1314982440J40798234406.htm</x:v>
      </x:c>
      <x:c r="U23" s="23" t="str">
        <x:v>无可核验公开码</x:v>
      </x:c>
      <x:c r="V23" s="23" t="str">
        <x:v>C</x:v>
      </x:c>
      <x:c r="W23" s="24"/>
      <x:c r="X23" s="24" t="n">
        <x:v>46262</x:v>
      </x:c>
      <x:c r="Y23" s="23" t="str">
        <x:v>等待回执；优先核验真实用工主体</x:v>
      </x:c>
      <x:c r="Z23" s="24" t="n">
        <x:v>46261</x:v>
      </x:c>
      <x:c r="AA23" s="23" t="str"/>
      <x:c r="AB23" s="23" t="n">
        <x:v>88</x:v>
      </x:c>
      <x:c r="AC23" s="23" t="n">
        <x:v>84</x:v>
      </x:c>
      <x:c r="AD23" s="23" t="n">
        <x:v>86</x:v>
      </x:c>
      <x:c r="AE23" s="23" t="n">
        <x:v>85</x:v>
      </x:c>
      <x:c r="AF23" s="23" t="n">
        <x:v>8</x:v>
      </x:c>
    </x:row>
    <x:row r="24" ht="66" customHeight="1">
      <x:c r="A24" s="23" t="str">
        <x:v>C003</x:v>
      </x:c>
      <x:c r="B24" s="23" t="str">
        <x:v>次投</x:v>
      </x:c>
      <x:c r="C24" s="23" t="str">
        <x:f>IF(B24="暂缓","HOLD",IF(I24&gt;=90,"S",IF(I24&gt;=82,"A",IF(I24&gt;=72,"B","C"))))</x:f>
        <x:v>A</x:v>
      </x:c>
      <x:c r="D24" s="23" t="str">
        <x:v>待投</x:v>
      </x:c>
      <x:c r="E24" s="23" t="str">
        <x:v>枢星数智科技</x:v>
      </x:c>
      <x:c r="F24" s="23" t="str">
        <x:v>医疗AI</x:v>
      </x:c>
      <x:c r="G24" s="23" t="str">
        <x:v>大模型算法工程师（Agent应用）</x:v>
      </x:c>
      <x:c r="H24" s="23" t="str">
        <x:v>成都</x:v>
      </x:c>
      <x:c r="I24" s="25" t="n">
        <x:f>ROUND(AB24*0.3+AC24*0.25+AD24*0.25+AE24*0.2-AF24,0)</x:f>
        <x:v>88</x:v>
      </x:c>
      <x:c r="J24" s="23" t="str">
        <x:v>中</x:v>
      </x:c>
      <x:c r="K24" s="23" t="str">
        <x:v>低</x:v>
      </x:c>
      <x:c r="L24" s="23" t="str">
        <x:v>未披露</x:v>
      </x:c>
      <x:c r="M24" s="23" t="str">
        <x:v>未披露</x:v>
      </x:c>
      <x:c r="N24" s="23" t="str">
        <x:v>未披露；加班情况需面试核验</x:v>
      </x:c>
      <x:c r="O24" s="23" t="str">
        <x:v>3年以上；Python、LangChain/LlamaIndex/AutoGen/LangGraph、RAG/多Agent、WebSocket、Docker/K8s；HL7/FHIR优先。</x:v>
      </x:c>
      <x:c r="P24" s="23" t="str">
        <x:v>Agent/RAG/工程化和年限匹配。</x:v>
      </x:c>
      <x:c r="Q24" s="23" t="str">
        <x:v>缺医疗协议/医院系统经验；先核验公司规模、薪资和项目交付节奏。</x:v>
      </x:c>
      <x:c r="R24" s="23" t="str">
        <x:v>公司招聘页</x:v>
      </x:c>
      <x:c r="S24" s="23" t="str">
        <x:v>https://www.dubhedi.com/social-recruitment.html</x:v>
      </x:c>
      <x:c r="T24" s="23" t="str">
        <x:v>https://www.dubhedi.com/social-recruitment.html</x:v>
      </x:c>
      <x:c r="U24" s="23" t="str">
        <x:v>无可核验公开码</x:v>
      </x:c>
      <x:c r="V24" s="23" t="str">
        <x:v>B</x:v>
      </x:c>
      <x:c r="W24" s="24"/>
      <x:c r="X24" s="24" t="n">
        <x:v>46262</x:v>
      </x:c>
      <x:c r="Y24" s="23" t="str">
        <x:f>IF(B24="暂缓","暂不投；先核验目标城市相似岗与冷却期",IF(D24="暂停招聘","停止投递；仅保留岗位画像",IF(D24="待本人继续","本人继续完成未提交申请",IF(D24="待本人确认","本人核验是否生成投递记录",IF(D24="待本人手工","本人从官网手工投递",IF(R24="邮件直投","发邮件：岗位名+刘启仁，附PDF",IF(V24="C","先核验HC/客户/用工主体","从官网入口投递")))))))</x:f>
        <x:v>从官网入口投递</x:v>
      </x:c>
      <x:c r="Z24" s="24"/>
      <x:c r="AA24" s="23" t="str"/>
      <x:c r="AB24" s="23" t="n">
        <x:v>92</x:v>
      </x:c>
      <x:c r="AC24" s="23" t="n">
        <x:v>92</x:v>
      </x:c>
      <x:c r="AD24" s="23" t="n">
        <x:v>88</x:v>
      </x:c>
      <x:c r="AE24" s="23" t="n">
        <x:v>94</x:v>
      </x:c>
      <x:c r="AF24" s="23" t="n">
        <x:v>3</x:v>
      </x:c>
    </x:row>
    <x:row r="25" ht="66" customHeight="1">
      <x:c r="A25" s="23" t="str">
        <x:v>SZ003</x:v>
      </x:c>
      <x:c r="B25" s="23" t="str">
        <x:v>次投</x:v>
      </x:c>
      <x:c r="C25" s="23" t="str">
        <x:f>IF(B25="暂缓","HOLD",IF(I25&gt;=90,"S",IF(I25&gt;=82,"A",IF(I25&gt;=72,"B","C"))))</x:f>
        <x:v>A</x:v>
      </x:c>
      <x:c r="D25" s="23" t="str">
        <x:v>待投</x:v>
      </x:c>
      <x:c r="E25" s="23" t="str">
        <x:v>招银网络科技</x:v>
      </x:c>
      <x:c r="F25" s="23" t="str">
        <x:v>AI应用 / 招商银行科技</x:v>
      </x:c>
      <x:c r="G25" s="23" t="str">
        <x:v>AI Agent开发工程师</x:v>
      </x:c>
      <x:c r="H25" s="23" t="str">
        <x:v>深圳</x:v>
      </x:c>
      <x:c r="I25" s="25" t="n">
        <x:f>ROUND(AB25*0.3+AC25*0.25+AD25*0.25+AE25*0.2-AF25,0)</x:f>
        <x:v>88</x:v>
      </x:c>
      <x:c r="J25" s="23" t="str">
        <x:v>高</x:v>
      </x:c>
      <x:c r="K25" s="23" t="str">
        <x:v>低</x:v>
      </x:c>
      <x:c r="L25" s="23" t="str">
        <x:v>未披露</x:v>
      </x:c>
      <x:c r="M25" s="23" t="str">
        <x:v>未披露</x:v>
      </x:c>
      <x:c r="N25" s="23" t="str">
        <x:v>公开内推帖称极少加班（低置信；面试核验）</x:v>
      </x:c>
      <x:c r="O25" s="23" t="str">
        <x:v>Python Agent、RAG/模型服务、Java Spring、微服务、Docker/K8s、全栈联调、带小团队与高压交付。</x:v>
      </x:c>
      <x:c r="P25" s="23" t="str">
        <x:v>企业级后端、Agent、K8s、全栈与生产交付吻合。</x:v>
      </x:c>
      <x:c r="Q25" s="23" t="str">
        <x:v>Java Spring与带队证据需加强；准备金融合规/数据安全案例。</x:v>
      </x:c>
      <x:c r="R25" s="23" t="str">
        <x:v>官网/内推码</x:v>
      </x:c>
      <x:c r="S25" s="23" t="str">
        <x:v>https://cmbntjob.cmbchina.com</x:v>
      </x:c>
      <x:c r="T25" s="23" t="str">
        <x:v>https://www.yinhangzhaopin.com/zsyh/2026-08-06/223036.htm</x:v>
      </x:c>
      <x:c r="U25" s="23" t="str">
        <x:v>AJWQQG（第三方公开帖称2026有效；使用前确认）</x:v>
      </x:c>
      <x:c r="V25" s="23" t="str">
        <x:v>B</x:v>
      </x:c>
      <x:c r="W25" s="24" t="n">
        <x:v>46240</x:v>
      </x:c>
      <x:c r="X25" s="24" t="n">
        <x:v>46262</x:v>
      </x:c>
      <x:c r="Y25" s="23" t="str">
        <x:f>IF(B25="暂缓","暂不投；先核验目标城市相似岗与冷却期",IF(D25="暂停招聘","停止投递；仅保留岗位画像",IF(D25="待本人继续","本人继续完成未提交申请",IF(D25="待本人确认","本人核验是否生成投递记录",IF(D25="待本人手工","本人从官网手工投递",IF(R25="邮件直投","发邮件：岗位名+刘启仁，附PDF",IF(V25="C","先核验HC/客户/用工主体","从官网入口投递")))))))</x:f>
        <x:v>从官网入口投递</x:v>
      </x:c>
      <x:c r="Z25" s="24"/>
      <x:c r="AA25" s="23" t="str"/>
      <x:c r="AB25" s="23" t="n">
        <x:v>92</x:v>
      </x:c>
      <x:c r="AC25" s="23" t="n">
        <x:v>88</x:v>
      </x:c>
      <x:c r="AD25" s="23" t="n">
        <x:v>92</x:v>
      </x:c>
      <x:c r="AE25" s="23" t="n">
        <x:v>88</x:v>
      </x:c>
      <x:c r="AF25" s="23" t="n">
        <x:v>2</x:v>
      </x:c>
    </x:row>
    <x:row r="26" ht="66" customHeight="1">
      <x:c r="A26" s="23" t="str">
        <x:v>SZ005</x:v>
      </x:c>
      <x:c r="B26" s="23" t="str">
        <x:v>次投</x:v>
      </x:c>
      <x:c r="C26" s="23" t="str">
        <x:f>IF(B26="暂缓","HOLD",IF(I26&gt;=90,"S",IF(I26&gt;=82,"A",IF(I26&gt;=72,"B","C"))))</x:f>
        <x:v>A</x:v>
      </x:c>
      <x:c r="D26" s="23" t="str">
        <x:v>待投</x:v>
      </x:c>
      <x:c r="E26" s="23" t="str">
        <x:v>云从科技</x:v>
      </x:c>
      <x:c r="F26" s="23" t="str">
        <x:v>RAG/知识库应用</x:v>
      </x:c>
      <x:c r="G26" s="23" t="str">
        <x:v>大模型应用开发工程师（RAG/知识库）</x:v>
      </x:c>
      <x:c r="H26" s="23" t="str">
        <x:v>深圳</x:v>
      </x:c>
      <x:c r="I26" s="25" t="n">
        <x:f>ROUND(AB26*0.3+AC26*0.25+AD26*0.25+AE26*0.2-AF26,0)</x:f>
        <x:v>88</x:v>
      </x:c>
      <x:c r="J26" s="23" t="str">
        <x:v>高</x:v>
      </x:c>
      <x:c r="K26" s="23" t="str">
        <x:v>中</x:v>
      </x:c>
      <x:c r="L26" s="23" t="str">
        <x:v>25–40万/年</x:v>
      </x:c>
      <x:c r="M26" s="23" t="str">
        <x:v>未披露</x:v>
      </x:c>
      <x:c r="N26" s="23" t="str">
        <x:v>未披露；加班情况需面试核验</x:v>
      </x:c>
      <x:c r="O26" s="23" t="str">
        <x:v>3年以上；多租户RAG、混合检索/重排/HyDE、Qwen/Llama微调、vLLM/TGI、Agent多轮澄清、Docker/K8s。</x:v>
      </x:c>
      <x:c r="P26" s="23" t="str">
        <x:v>混合检索、RRF、拒答/澄清、引用和K8s强匹配。</x:v>
      </x:c>
      <x:c r="Q26" s="23" t="str">
        <x:v>LoRA/vLLM、多租户权限需补；来源为猎头站，先核验HC。</x:v>
      </x:c>
      <x:c r="R26" s="23" t="str">
        <x:v>猎头平台</x:v>
      </x:c>
      <x:c r="S26" s="23" t="str">
        <x:v>https://www.haolietou.com/j_334607</x:v>
      </x:c>
      <x:c r="T26" s="23" t="str">
        <x:v>https://www.haolietou.com/j_334607</x:v>
      </x:c>
      <x:c r="U26" s="23" t="str">
        <x:v>无可核验公开码</x:v>
      </x:c>
      <x:c r="V26" s="23" t="str">
        <x:v>B</x:v>
      </x:c>
      <x:c r="W26" s="24" t="n">
        <x:v>46129</x:v>
      </x:c>
      <x:c r="X26" s="24" t="n">
        <x:v>46262</x:v>
      </x:c>
      <x:c r="Y26" s="23" t="str">
        <x:f>IF(B26="暂缓","暂不投；先核验目标城市相似岗与冷却期",IF(D26="暂停招聘","停止投递；仅保留岗位画像",IF(D26="待本人继续","本人继续完成未提交申请",IF(D26="待本人确认","本人核验是否生成投递记录",IF(D26="待本人手工","本人从官网手工投递",IF(R26="邮件直投","发邮件：岗位名+刘启仁，附PDF",IF(V26="C","先核验HC/客户/用工主体","从官网入口投递")))))))</x:f>
        <x:v>从官网入口投递</x:v>
      </x:c>
      <x:c r="Z26" s="24"/>
      <x:c r="AA26" s="23" t="str"/>
      <x:c r="AB26" s="23" t="n">
        <x:v>91</x:v>
      </x:c>
      <x:c r="AC26" s="23" t="n">
        <x:v>99</x:v>
      </x:c>
      <x:c r="AD26" s="23" t="n">
        <x:v>88</x:v>
      </x:c>
      <x:c r="AE26" s="23" t="n">
        <x:v>95</x:v>
      </x:c>
      <x:c r="AF26" s="23" t="n">
        <x:v>5</x:v>
      </x:c>
    </x:row>
    <x:row r="27" ht="66" customHeight="1">
      <x:c r="A27" s="23" t="str">
        <x:v>C005</x:v>
      </x:c>
      <x:c r="B27" s="23" t="str">
        <x:v>次投</x:v>
      </x:c>
      <x:c r="C27" s="23" t="str">
        <x:f>IF(B27="暂缓","HOLD",IF(I27&gt;=90,"S",IF(I27&gt;=82,"A",IF(I27&gt;=72,"B","C"))))</x:f>
        <x:v>A</x:v>
      </x:c>
      <x:c r="D27" s="23" t="str">
        <x:v>待投</x:v>
      </x:c>
      <x:c r="E27" s="23" t="str">
        <x:v>成都运达科技</x:v>
      </x:c>
      <x:c r="F27" s="23" t="str">
        <x:v>大模型应用</x:v>
      </x:c>
      <x:c r="G27" s="23" t="str">
        <x:v>大模型算法研发工程师</x:v>
      </x:c>
      <x:c r="H27" s="23" t="str">
        <x:v>成都</x:v>
      </x:c>
      <x:c r="I27" s="25" t="n">
        <x:f>ROUND(AB27*0.3+AC27*0.25+AD27*0.25+AE27*0.2-AF27,0)</x:f>
        <x:v>87</x:v>
      </x:c>
      <x:c r="J27" s="23" t="str">
        <x:v>中</x:v>
      </x:c>
      <x:c r="K27" s="23" t="str">
        <x:v>低</x:v>
      </x:c>
      <x:c r="L27" s="23" t="str">
        <x:v>12–18K/月</x:v>
      </x:c>
      <x:c r="M27" s="23" t="str">
        <x:v>未披露</x:v>
      </x:c>
      <x:c r="N27" s="23" t="str">
        <x:v>未披露；加班情况需面试核验</x:v>
      </x:c>
      <x:c r="O27" s="23" t="str">
        <x:v>3-5年；SFT/RLHF/DPO、RAG、Multi-Agent、vLLM/TensorRT、LLMOps、高可用与K8s。</x:v>
      </x:c>
      <x:c r="P27" s="23" t="str">
        <x:v>RAG、Agent、评测/监控和高可用匹配。</x:v>
      </x:c>
      <x:c r="Q27" s="23" t="str">
        <x:v>薪资偏低且微调要求强；投前确认核心研发占比。</x:v>
      </x:c>
      <x:c r="R27" s="23" t="str">
        <x:v>招聘平台</x:v>
      </x:c>
      <x:c r="S27" s="23" t="str">
        <x:v>https://m.yupao.com/zhaogong/379774320.html</x:v>
      </x:c>
      <x:c r="T27" s="23" t="str">
        <x:v>https://m.yupao.com/zhaogong/379774320.html</x:v>
      </x:c>
      <x:c r="U27" s="23" t="str">
        <x:v>无可核验公开码</x:v>
      </x:c>
      <x:c r="V27" s="23" t="str">
        <x:v>B</x:v>
      </x:c>
      <x:c r="W27" s="24" t="n">
        <x:v>46221</x:v>
      </x:c>
      <x:c r="X27" s="24" t="n">
        <x:v>46262</x:v>
      </x:c>
      <x:c r="Y27" s="23" t="str">
        <x:f>IF(B27="暂缓","暂不投；先核验目标城市相似岗与冷却期",IF(D27="暂停招聘","停止投递；仅保留岗位画像",IF(D27="待本人继续","本人继续完成未提交申请",IF(D27="待本人确认","本人核验是否生成投递记录",IF(D27="待本人手工","本人从官网手工投递",IF(R27="邮件直投","发邮件：岗位名+刘启仁，附PDF",IF(V27="C","先核验HC/客户/用工主体","从官网入口投递")))))))</x:f>
        <x:v>从官网入口投递</x:v>
      </x:c>
      <x:c r="Z27" s="24"/>
      <x:c r="AA27" s="23" t="str"/>
      <x:c r="AB27" s="23" t="n">
        <x:v>90</x:v>
      </x:c>
      <x:c r="AC27" s="23" t="n">
        <x:v>92</x:v>
      </x:c>
      <x:c r="AD27" s="23" t="n">
        <x:v>86</x:v>
      </x:c>
      <x:c r="AE27" s="23" t="n">
        <x:v>95</x:v>
      </x:c>
      <x:c r="AF27" s="23" t="n">
        <x:v>4</x:v>
      </x:c>
    </x:row>
    <x:row r="28" ht="66" customHeight="1">
      <x:c r="A28" s="23" t="str">
        <x:v>N012</x:v>
      </x:c>
      <x:c r="B28" s="23" t="str">
        <x:v>次投</x:v>
      </x:c>
      <x:c r="C28" s="23" t="str">
        <x:f>IF(B28="暂缓","HOLD",IF(I28&gt;=90,"S",IF(I28&gt;=82,"A",IF(I28&gt;=72,"B","C"))))</x:f>
        <x:v>A</x:v>
      </x:c>
      <x:c r="D28" s="23" t="str">
        <x:v>待投</x:v>
      </x:c>
      <x:c r="E28" s="23" t="str">
        <x:v>西安讯蜂科技</x:v>
      </x:c>
      <x:c r="F28" s="23" t="str">
        <x:v>AI研发</x:v>
      </x:c>
      <x:c r="G28" s="23" t="str">
        <x:v>AI研发工程师</x:v>
      </x:c>
      <x:c r="H28" s="23" t="str">
        <x:v>西安</x:v>
      </x:c>
      <x:c r="I28" s="25" t="n">
        <x:f>ROUND(AB28*0.3+AC28*0.25+AD28*0.25+AE28*0.2-AF28,0)</x:f>
        <x:v>85</x:v>
      </x:c>
      <x:c r="J28" s="23" t="str">
        <x:v>高</x:v>
      </x:c>
      <x:c r="K28" s="23" t="str">
        <x:v>低</x:v>
      </x:c>
      <x:c r="L28" s="23" t="str">
        <x:v>未披露</x:v>
      </x:c>
      <x:c r="M28" s="23" t="str">
        <x:v>未披露</x:v>
      </x:c>
      <x:c r="N28" s="23" t="str">
        <x:v>未披露；加班情况需面试核验</x:v>
      </x:c>
      <x:c r="O28" s="23" t="str">
        <x:v>Agent框架、高并发RAG、多模态与企业场景落地。</x:v>
      </x:c>
      <x:c r="P28" s="23" t="str">
        <x:v>Agent/RAG、高并发后端与企业交付方向一致。</x:v>
      </x:c>
      <x:c r="Q28" s="23" t="str">
        <x:v>页面发布时间不明；先邮件确认2026社招HC与薪资。</x:v>
      </x:c>
      <x:c r="R28" s="23" t="str">
        <x:v>邮件直投</x:v>
      </x:c>
      <x:c r="S28" s="23" t="str">
        <x:v>mailto:xf@xfsec.com.cn</x:v>
      </x:c>
      <x:c r="T28" s="23" t="str">
        <x:v>https://www.xfsec.com.cn/joinus.html</x:v>
      </x:c>
      <x:c r="U28" s="23" t="str">
        <x:v>无公开码；邮箱 xf@xfsec.com.cn</x:v>
      </x:c>
      <x:c r="V28" s="23" t="str">
        <x:v>B</x:v>
      </x:c>
      <x:c r="W28" s="24"/>
      <x:c r="X28" s="24" t="n">
        <x:v>46262</x:v>
      </x:c>
      <x:c r="Y28" s="23" t="str">
        <x:f>IF(B28="暂缓","暂不投；先核验目标城市相似岗与冷却期",IF(D28="暂停招聘","停止投递；仅保留岗位画像",IF(D28="待本人继续","本人继续完成未提交申请",IF(D28="待本人确认","本人核验是否生成投递记录",IF(D28="待本人手工","本人从官网手工投递",IF(R28="邮件直投","发邮件：岗位名+刘启仁，附PDF",IF(V28="C","先核验HC/客户/用工主体","从官网入口投递")))))))</x:f>
        <x:v>发邮件：岗位名+刘启仁，附PDF</x:v>
      </x:c>
      <x:c r="Z28" s="24"/>
      <x:c r="AA28" s="23" t="str"/>
      <x:c r="AB28" s="23" t="n">
        <x:v>90</x:v>
      </x:c>
      <x:c r="AC28" s="23" t="n">
        <x:v>92</x:v>
      </x:c>
      <x:c r="AD28" s="23" t="n">
        <x:v>88</x:v>
      </x:c>
      <x:c r="AE28" s="23" t="n">
        <x:v>85</x:v>
      </x:c>
      <x:c r="AF28" s="23" t="n">
        <x:v>4</x:v>
      </x:c>
    </x:row>
    <x:row r="29" ht="66" customHeight="1">
      <x:c r="A29" s="23" t="str">
        <x:v>C004</x:v>
      </x:c>
      <x:c r="B29" s="23" t="str">
        <x:v>次投</x:v>
      </x:c>
      <x:c r="C29" s="23" t="str">
        <x:f>IF(B29="暂缓","HOLD",IF(I29&gt;=90,"S",IF(I29&gt;=82,"A",IF(I29&gt;=72,"B","C"))))</x:f>
        <x:v>A</x:v>
      </x:c>
      <x:c r="D29" s="23" t="str">
        <x:v>待投</x:v>
      </x:c>
      <x:c r="E29" s="23" t="str">
        <x:v>航空工业成都飞机设计研究所</x:v>
      </x:c>
      <x:c r="F29" s="23" t="str">
        <x:v>软件研发/AI赋能</x:v>
      </x:c>
      <x:c r="G29" s="23" t="str">
        <x:v>AI应用算法与应用工程师</x:v>
      </x:c>
      <x:c r="H29" s="23" t="str">
        <x:v>成都</x:v>
      </x:c>
      <x:c r="I29" s="25" t="n">
        <x:f>ROUND(AB29*0.3+AC29*0.25+AD29*0.25+AE29*0.2-AF29,0)</x:f>
        <x:v>84</x:v>
      </x:c>
      <x:c r="J29" s="23" t="str">
        <x:v>中</x:v>
      </x:c>
      <x:c r="K29" s="23" t="str">
        <x:v>低</x:v>
      </x:c>
      <x:c r="L29" s="23" t="str">
        <x:v>未披露</x:v>
      </x:c>
      <x:c r="M29" s="23" t="str">
        <x:v>未披露</x:v>
      </x:c>
      <x:c r="N29" s="23" t="str">
        <x:v>未披露；加班情况需面试核验</x:v>
      </x:c>
      <x:c r="O29" s="23" t="str">
        <x:v>RAG、Agent/Skill/MCP、ETL/数据治理/知识图谱、AI系统架构与DevOps；至少1个完整RAG项目。</x:v>
      </x:c>
      <x:c r="P29" s="23" t="str">
        <x:v>RAG、MCP、DevOps与大型工程系统经验强。</x:v>
      </x:c>
      <x:c r="Q29" s="23" t="str">
        <x:v>国企/研究所资格与背景审查复杂；核验截止日期和招聘性质。</x:v>
      </x:c>
      <x:c r="R29" s="23" t="str">
        <x:v>招聘公告</x:v>
      </x:c>
      <x:c r="S29" s="23" t="str">
        <x:v>https://www.fenbi.com/page/fenxiaozhaokaodetail/7/0/467353317955584</x:v>
      </x:c>
      <x:c r="T29" s="23" t="str">
        <x:v>https://www.fenbi.com/page/fenxiaozhaokaodetail/7/0/467353317955584</x:v>
      </x:c>
      <x:c r="U29" s="23" t="str">
        <x:v>无可核验公开码</x:v>
      </x:c>
      <x:c r="V29" s="23" t="str">
        <x:v>B</x:v>
      </x:c>
      <x:c r="W29" s="24"/>
      <x:c r="X29" s="24" t="n">
        <x:v>46262</x:v>
      </x:c>
      <x:c r="Y29" s="23" t="str">
        <x:f>IF(B29="暂缓","暂不投；先核验目标城市相似岗与冷却期",IF(D29="暂停招聘","停止投递；仅保留岗位画像",IF(D29="待本人继续","本人继续完成未提交申请",IF(D29="待本人确认","本人核验是否生成投递记录",IF(D29="待本人手工","本人从官网手工投递",IF(R29="邮件直投","发邮件：岗位名+刘启仁，附PDF",IF(V29="C","先核验HC/客户/用工主体","从官网入口投递")))))))</x:f>
        <x:v>从官网入口投递</x:v>
      </x:c>
      <x:c r="Z29" s="24"/>
      <x:c r="AA29" s="23" t="str"/>
      <x:c r="AB29" s="23" t="n">
        <x:v>90</x:v>
      </x:c>
      <x:c r="AC29" s="23" t="n">
        <x:v>92</x:v>
      </x:c>
      <x:c r="AD29" s="23" t="n">
        <x:v>86</x:v>
      </x:c>
      <x:c r="AE29" s="23" t="n">
        <x:v>84</x:v>
      </x:c>
      <x:c r="AF29" s="23" t="n">
        <x:v>4</x:v>
      </x:c>
    </x:row>
    <x:row r="30" ht="66" customHeight="1">
      <x:c r="A30" s="23" t="str">
        <x:v>N007</x:v>
      </x:c>
      <x:c r="B30" s="23" t="str">
        <x:v>次投</x:v>
      </x:c>
      <x:c r="C30" s="23" t="str">
        <x:f>IF(B30="暂缓","HOLD",IF(I30&gt;=90,"S",IF(I30&gt;=82,"A",IF(I30&gt;=72,"B","C"))))</x:f>
        <x:v>A</x:v>
      </x:c>
      <x:c r="D30" s="23" t="str">
        <x:v>待投</x:v>
      </x:c>
      <x:c r="E30" s="23" t="str">
        <x:v>先进数通</x:v>
      </x:c>
      <x:c r="F30" s="23" t="str">
        <x:v>金融科技AI应用</x:v>
      </x:c>
      <x:c r="G30" s="23" t="str">
        <x:v>大模型应用开发工程师（Agent方向，J13760）</x:v>
      </x:c>
      <x:c r="H30" s="23" t="str">
        <x:v>佛山</x:v>
      </x:c>
      <x:c r="I30" s="25" t="n">
        <x:f>ROUND(AB30*0.3+AC30*0.25+AD30*0.25+AE30*0.2-AF30,0)</x:f>
        <x:v>83</x:v>
      </x:c>
      <x:c r="J30" s="23" t="str">
        <x:v>高</x:v>
      </x:c>
      <x:c r="K30" s="23" t="str">
        <x:v>低</x:v>
      </x:c>
      <x:c r="L30" s="23" t="str">
        <x:v>15–25K/月</x:v>
      </x:c>
      <x:c r="M30" s="23" t="str">
        <x:v>未披露</x:v>
      </x:c>
      <x:c r="N30" s="23" t="str">
        <x:v>未披露；加班情况需面试核验</x:v>
      </x:c>
      <x:c r="O30" s="23" t="str">
        <x:v>5-10年、本科；LLM应用、Agent规划/执行、RAG知识库、检索/知识抽取、多模态/知识图谱。</x:v>
      </x:c>
      <x:c r="P30" s="23" t="str">
        <x:v>Agent任务规划、RAG、知识库与企业系统工程能力强。</x:v>
      </x:c>
      <x:c r="Q30" s="23" t="str">
        <x:v>年限明显偏高；可当系统设计练面，先问是否接受4年高潜。</x:v>
      </x:c>
      <x:c r="R30" s="23" t="str">
        <x:v>智联招聘</x:v>
      </x:c>
      <x:c r="S30" s="23" t="str">
        <x:v>https://www.zhaopin.com/jobdetail/CC000432190J40685483616.htm</x:v>
      </x:c>
      <x:c r="T30" s="23" t="str">
        <x:v>https://www.zhaopin.com/jobdetail/CC000432190J40685483616.htm</x:v>
      </x:c>
      <x:c r="U30" s="23" t="str">
        <x:v>无可核验公开码</x:v>
      </x:c>
      <x:c r="V30" s="23" t="str">
        <x:v>B</x:v>
      </x:c>
      <x:c r="W30" s="24"/>
      <x:c r="X30" s="24" t="n">
        <x:v>46262</x:v>
      </x:c>
      <x:c r="Y30" s="23" t="str">
        <x:f>IF(B30="暂缓","暂不投；先核验目标城市相似岗与冷却期",IF(D30="暂停招聘","停止投递；仅保留岗位画像",IF(D30="待本人继续","本人继续完成未提交申请",IF(D30="待本人确认","本人核验是否生成投递记录",IF(D30="待本人手工","本人从官网手工投递",IF(R30="邮件直投","发邮件：岗位名+刘启仁，附PDF",IF(V30="C","先核验HC/客户/用工主体","从官网入口投递")))))))</x:f>
        <x:v>从官网入口投递</x:v>
      </x:c>
      <x:c r="Z30" s="24"/>
      <x:c r="AA30" s="23" t="str"/>
      <x:c r="AB30" s="23" t="n">
        <x:v>94</x:v>
      </x:c>
      <x:c r="AC30" s="23" t="n">
        <x:v>94</x:v>
      </x:c>
      <x:c r="AD30" s="23" t="n">
        <x:v>88</x:v>
      </x:c>
      <x:c r="AE30" s="23" t="n">
        <x:v>55</x:v>
      </x:c>
      <x:c r="AF30" s="23" t="n">
        <x:v>2</x:v>
      </x:c>
    </x:row>
    <x:row r="31" ht="66" customHeight="1">
      <x:c r="A31" s="23" t="str">
        <x:v>N013</x:v>
      </x:c>
      <x:c r="B31" s="23" t="str">
        <x:v>次投</x:v>
      </x:c>
      <x:c r="C31" s="23" t="str">
        <x:f>IF(B31="暂缓","HOLD",IF(I31&gt;=90,"S",IF(I31&gt;=82,"A",IF(I31&gt;=72,"B","C"))))</x:f>
        <x:v>A</x:v>
      </x:c>
      <x:c r="D31" s="23" t="str">
        <x:v>待投</x:v>
      </x:c>
      <x:c r="E31" s="23" t="str">
        <x:v>某游戏公司（猎头未披露）</x:v>
      </x:c>
      <x:c r="F31" s="23" t="str">
        <x:v>LLM/Agent</x:v>
      </x:c>
      <x:c r="G31" s="23" t="str">
        <x:v>AI研发工程师（LLM方向）</x:v>
      </x:c>
      <x:c r="H31" s="23" t="str">
        <x:v>武汉</x:v>
      </x:c>
      <x:c r="I31" s="25" t="n">
        <x:f>ROUND(AB31*0.3+AC31*0.25+AD31*0.25+AE31*0.2-AF31,0)</x:f>
        <x:v>82</x:v>
      </x:c>
      <x:c r="J31" s="23" t="str">
        <x:v>高</x:v>
      </x:c>
      <x:c r="K31" s="23" t="str">
        <x:v>低</x:v>
      </x:c>
      <x:c r="L31" s="23" t="str">
        <x:v>18–30万/年</x:v>
      </x:c>
      <x:c r="M31" s="23" t="str">
        <x:v>未披露</x:v>
      </x:c>
      <x:c r="N31" s="23" t="str">
        <x:v>未披露；加班情况需面试核验</x:v>
      </x:c>
      <x:c r="O31" s="23" t="str">
        <x:v>3-5年；Python/Linux、LLM Agent任务规划/工具调用/多轮对话、RAG、系统架构和性能优化。</x:v>
      </x:c>
      <x:c r="P31" s="23" t="str">
        <x:v>年限、Agent、RAG与后端性能优化匹配。</x:v>
      </x:c>
      <x:c r="Q31" s="23" t="str">
        <x:v>客户未披露且要求985/211、英语四级；先问用工主体和公司名称。</x:v>
      </x:c>
      <x:c r="R31" s="23" t="str">
        <x:v>猎头平台</x:v>
      </x:c>
      <x:c r="S31" s="23" t="str">
        <x:v>https://hewa.cn/positionDetails/kPcbLokZJ9ujnX0DG_hw1_FQig_hw2_.html</x:v>
      </x:c>
      <x:c r="T31" s="23" t="str">
        <x:v>https://hewa.cn/positionDetails/kPcbLokZJ9ujnX0DG_hw1_FQig_hw2_.html</x:v>
      </x:c>
      <x:c r="U31" s="23" t="str">
        <x:v>无可核验公开码</x:v>
      </x:c>
      <x:c r="V31" s="23" t="str">
        <x:v>C</x:v>
      </x:c>
      <x:c r="W31" s="24"/>
      <x:c r="X31" s="24" t="n">
        <x:v>46262</x:v>
      </x:c>
      <x:c r="Y31" s="23" t="str">
        <x:f>IF(B31="暂缓","暂不投；先核验目标城市相似岗与冷却期",IF(D31="暂停招聘","停止投递；仅保留岗位画像",IF(D31="待本人继续","本人继续完成未提交申请",IF(D31="待本人确认","本人核验是否生成投递记录",IF(D31="待本人手工","本人从官网手工投递",IF(R31="邮件直投","发邮件：岗位名+刘启仁，附PDF",IF(V31="C","先核验HC/客户/用工主体","从官网入口投递")))))))</x:f>
        <x:v>先核验HC/客户/用工主体</x:v>
      </x:c>
      <x:c r="Z31" s="24"/>
      <x:c r="AA31" s="23" t="str"/>
      <x:c r="AB31" s="23" t="n">
        <x:v>92</x:v>
      </x:c>
      <x:c r="AC31" s="23" t="n">
        <x:v>92</x:v>
      </x:c>
      <x:c r="AD31" s="23" t="n">
        <x:v>90</x:v>
      </x:c>
      <x:c r="AE31" s="23" t="n">
        <x:v>95</x:v>
      </x:c>
      <x:c r="AF31" s="23" t="n">
        <x:v>10</x:v>
      </x:c>
    </x:row>
    <x:row r="32" ht="66" customHeight="1">
      <x:c r="A32" s="23" t="str">
        <x:v>N011</x:v>
      </x:c>
      <x:c r="B32" s="23" t="str">
        <x:v>次投</x:v>
      </x:c>
      <x:c r="C32" s="23" t="str">
        <x:f>IF(B32="暂缓","HOLD",IF(I32&gt;=90,"S",IF(I32&gt;=82,"A",IF(I32&gt;=72,"B","C"))))</x:f>
        <x:v>B</x:v>
      </x:c>
      <x:c r="D32" s="23" t="str">
        <x:v>待投</x:v>
      </x:c>
      <x:c r="E32" s="23" t="str">
        <x:v>南京嘉环科技</x:v>
      </x:c>
      <x:c r="F32" s="23" t="str">
        <x:v>AI应用</x:v>
      </x:c>
      <x:c r="G32" s="23" t="str">
        <x:v>AI应用工程师</x:v>
      </x:c>
      <x:c r="H32" s="23" t="str">
        <x:v>南京</x:v>
      </x:c>
      <x:c r="I32" s="25" t="n">
        <x:f>ROUND(AB32*0.3+AC32*0.25+AD32*0.25+AE32*0.2-AF32,0)</x:f>
        <x:v>81</x:v>
      </x:c>
      <x:c r="J32" s="23" t="str">
        <x:v>高</x:v>
      </x:c>
      <x:c r="K32" s="23" t="str">
        <x:v>低</x:v>
      </x:c>
      <x:c r="L32" s="23" t="str">
        <x:v>15–30K/月</x:v>
      </x:c>
      <x:c r="M32" s="23" t="str">
        <x:v>未披露</x:v>
      </x:c>
      <x:c r="N32" s="23" t="str">
        <x:v>未披露；加班情况需面试核验</x:v>
      </x:c>
      <x:c r="O32" s="23" t="str">
        <x:v>1-3年；RAG+Agent、知识图谱、多步推理、工具调用、输出控制、SFT/PEFT/LoRA与评测闭环。</x:v>
      </x:c>
      <x:c r="P32" s="23" t="str">
        <x:v>RAG/Agent/工具/输出门禁与Eval闭环强匹配。</x:v>
      </x:c>
      <x:c r="Q32" s="23" t="str">
        <x:v>来源为聚合页；需到招聘App核验HC、用工主体和薪资。</x:v>
      </x:c>
      <x:c r="R32" s="23" t="str">
        <x:v>招聘App/聚合页</x:v>
      </x:c>
      <x:c r="S32" s="23" t="str">
        <x:v>https://b.460.net.cn/a/603386.html</x:v>
      </x:c>
      <x:c r="T32" s="23" t="str">
        <x:v>https://b.460.net.cn/a/603386.html</x:v>
      </x:c>
      <x:c r="U32" s="23" t="str">
        <x:v>无可核验公开码</x:v>
      </x:c>
      <x:c r="V32" s="23" t="str">
        <x:v>C</x:v>
      </x:c>
      <x:c r="W32" s="24" t="n">
        <x:v>46259</x:v>
      </x:c>
      <x:c r="X32" s="24" t="n">
        <x:v>46262</x:v>
      </x:c>
      <x:c r="Y32" s="23" t="str">
        <x:f>IF(B32="暂缓","暂不投；先核验目标城市相似岗与冷却期",IF(D32="暂停招聘","停止投递；仅保留岗位画像",IF(D32="待本人继续","本人继续完成未提交申请",IF(D32="待本人确认","本人核验是否生成投递记录",IF(D32="待本人手工","本人从官网手工投递",IF(R32="邮件直投","发邮件：岗位名+刘启仁，附PDF",IF(V32="C","先核验HC/客户/用工主体","从官网入口投递")))))))</x:f>
        <x:v>先核验HC/客户/用工主体</x:v>
      </x:c>
      <x:c r="Z32" s="24"/>
      <x:c r="AA32" s="23" t="str"/>
      <x:c r="AB32" s="23" t="n">
        <x:v>94</x:v>
      </x:c>
      <x:c r="AC32" s="23" t="n">
        <x:v>94</x:v>
      </x:c>
      <x:c r="AD32" s="23" t="n">
        <x:v>84</x:v>
      </x:c>
      <x:c r="AE32" s="23" t="n">
        <x:v>80</x:v>
      </x:c>
      <x:c r="AF32" s="23" t="n">
        <x:v>8</x:v>
      </x:c>
    </x:row>
    <x:row r="33" ht="66" customHeight="1">
      <x:c r="A33" s="23" t="str">
        <x:v>LP-A001</x:v>
      </x:c>
      <x:c r="B33" s="23" t="str">
        <x:v>次投</x:v>
      </x:c>
      <x:c r="C33" s="23" t="str">
        <x:f>IF(B33="暂缓","HOLD",IF(I33&gt;=90,"S",IF(I33&gt;=82,"A",IF(I33&gt;=72,"B","C"))))</x:f>
        <x:v>B</x:v>
      </x:c>
      <x:c r="D33" s="23" t="str">
        <x:v>待本人确认</x:v>
      </x:c>
      <x:c r="E33" s="23" t="str">
        <x:v>宁波银辰投资管理有限公司</x:v>
      </x:c>
      <x:c r="F33" s="23" t="str">
        <x:v>投研AI</x:v>
      </x:c>
      <x:c r="G33" s="23" t="str">
        <x:v>AI Agent应用工程师（投研方向）</x:v>
      </x:c>
      <x:c r="H33" s="23" t="str">
        <x:v>宁波</x:v>
      </x:c>
      <x:c r="I33" s="25" t="n">
        <x:f>ROUND(AB33*0.3+AC33*0.25+AD33*0.25+AE33*0.2-AF33,0)</x:f>
        <x:v>81</x:v>
      </x:c>
      <x:c r="J33" s="23" t="str">
        <x:v>高</x:v>
      </x:c>
      <x:c r="K33" s="23" t="str">
        <x:v>低</x:v>
      </x:c>
      <x:c r="L33" s="23" t="str">
        <x:v>未披露</x:v>
      </x:c>
      <x:c r="M33" s="23" t="str">
        <x:v>未披露</x:v>
      </x:c>
      <x:c r="N33" s="23" t="str">
        <x:v>未披露；加班情况需面试核验</x:v>
      </x:c>
      <x:c r="O33" s="23" t="str">
        <x:v>执行包未保留完整JD；重点核验金融投研数据源、合规、事实引用、回测与Agent权限边界。</x:v>
      </x:c>
      <x:c r="P33" s="23" t="str">
        <x:v>evidence-first、引用校验和Agent评测适合投研高可靠场景。</x:v>
      </x:c>
      <x:c r="Q33" s="23" t="str">
        <x:v>缺直接投研业务经验；需准备金融数据时效与合规边界。</x:v>
      </x:c>
      <x:c r="R33" s="23" t="str">
        <x:v>猎聘</x:v>
      </x:c>
      <x:c r="S33" s="23" t="str">
        <x:v>https://www.liepin.com/job/1985073873.shtml</x:v>
      </x:c>
      <x:c r="T33" s="23" t="str">
        <x:v>https://www.liepin.com/job/1985073873.shtml</x:v>
      </x:c>
      <x:c r="U33" s="23" t="str">
        <x:v>无可核验公开码</x:v>
      </x:c>
      <x:c r="V33" s="23" t="str">
        <x:v>C</x:v>
      </x:c>
      <x:c r="W33" s="24"/>
      <x:c r="X33" s="24" t="n">
        <x:v>46262</x:v>
      </x:c>
      <x:c r="Y33" s="23" t="str">
        <x:v>本人检查猎聘沟通/投递记录</x:v>
      </x:c>
      <x:c r="Z33" s="24"/>
      <x:c r="AA33" s="23" t="str"/>
      <x:c r="AB33" s="23" t="n">
        <x:v>90</x:v>
      </x:c>
      <x:c r="AC33" s="23" t="n">
        <x:v>88</x:v>
      </x:c>
      <x:c r="AD33" s="23" t="n">
        <x:v>84</x:v>
      </x:c>
      <x:c r="AE33" s="23" t="n">
        <x:v>85</x:v>
      </x:c>
      <x:c r="AF33" s="23" t="n">
        <x:v>6</x:v>
      </x:c>
    </x:row>
    <x:row r="34" ht="66" customHeight="1">
      <x:c r="A34" s="23" t="str">
        <x:v>LP-A002</x:v>
      </x:c>
      <x:c r="B34" s="23" t="str">
        <x:v>次投</x:v>
      </x:c>
      <x:c r="C34" s="23" t="str">
        <x:f>IF(B34="暂缓","HOLD",IF(I34&gt;=90,"S",IF(I34&gt;=82,"A",IF(I34&gt;=72,"B","C"))))</x:f>
        <x:v>B</x:v>
      </x:c>
      <x:c r="D34" s="23" t="str">
        <x:v>待本人确认</x:v>
      </x:c>
      <x:c r="E34" s="23" t="str">
        <x:v>宁波全拓海伦数智科技有限公司</x:v>
      </x:c>
      <x:c r="F34" s="23" t="str">
        <x:v>未披露</x:v>
      </x:c>
      <x:c r="G34" s="23" t="str">
        <x:v>AI Agent工程师</x:v>
      </x:c>
      <x:c r="H34" s="23" t="str">
        <x:v>宁波</x:v>
      </x:c>
      <x:c r="I34" s="25" t="n">
        <x:f>ROUND(AB34*0.3+AC34*0.25+AD34*0.25+AE34*0.2-AF34,0)</x:f>
        <x:v>81</x:v>
      </x:c>
      <x:c r="J34" s="23" t="str">
        <x:v>高</x:v>
      </x:c>
      <x:c r="K34" s="23" t="str">
        <x:v>低</x:v>
      </x:c>
      <x:c r="L34" s="23" t="str">
        <x:v>未披露</x:v>
      </x:c>
      <x:c r="M34" s="23" t="str">
        <x:v>未披露</x:v>
      </x:c>
      <x:c r="N34" s="23" t="str">
        <x:v>未披露；加班情况需面试核验</x:v>
      </x:c>
      <x:c r="O34" s="23" t="str">
        <x:v>执行包未保留完整JD；重点核验Agent框架、RAG、工具调用、部署和项目交付要求。</x:v>
      </x:c>
      <x:c r="P34" s="23" t="str">
        <x:v>Agent/RAG/MCP与后端工程经验具有通用匹配。</x:v>
      </x:c>
      <x:c r="Q34" s="23" t="str">
        <x:v>完整JD、公司业务、薪资和工时均需重新核验。</x:v>
      </x:c>
      <x:c r="R34" s="23" t="str">
        <x:v>猎聘</x:v>
      </x:c>
      <x:c r="S34" s="23" t="str">
        <x:v>https://www.liepin.com/job/1979390657.shtml</x:v>
      </x:c>
      <x:c r="T34" s="23" t="str">
        <x:v>https://www.liepin.com/job/1979390657.shtml</x:v>
      </x:c>
      <x:c r="U34" s="23" t="str">
        <x:v>无可核验公开码</x:v>
      </x:c>
      <x:c r="V34" s="23" t="str">
        <x:v>C</x:v>
      </x:c>
      <x:c r="W34" s="24"/>
      <x:c r="X34" s="24" t="n">
        <x:v>46262</x:v>
      </x:c>
      <x:c r="Y34" s="23" t="str">
        <x:v>本人检查猎聘沟通/投递记录</x:v>
      </x:c>
      <x:c r="Z34" s="24"/>
      <x:c r="AA34" s="23" t="str"/>
      <x:c r="AB34" s="23" t="n">
        <x:v>90</x:v>
      </x:c>
      <x:c r="AC34" s="23" t="n">
        <x:v>86</x:v>
      </x:c>
      <x:c r="AD34" s="23" t="n">
        <x:v>86</x:v>
      </x:c>
      <x:c r="AE34" s="23" t="n">
        <x:v>85</x:v>
      </x:c>
      <x:c r="AF34" s="23" t="n">
        <x:v>6</x:v>
      </x:c>
    </x:row>
    <x:row r="35" ht="66" customHeight="1">
      <x:c r="A35" s="23" t="str">
        <x:v>SZ007</x:v>
      </x:c>
      <x:c r="B35" s="23" t="str">
        <x:v>次投</x:v>
      </x:c>
      <x:c r="C35" s="23" t="str">
        <x:f>IF(B35="暂缓","HOLD",IF(I35&gt;=90,"S",IF(I35&gt;=82,"A",IF(I35&gt;=72,"B","C"))))</x:f>
        <x:v>B</x:v>
      </x:c>
      <x:c r="D35" s="23" t="str">
        <x:v>待投</x:v>
      </x:c>
      <x:c r="E35" s="23" t="str">
        <x:v>豹拓智能</x:v>
      </x:c>
      <x:c r="F35" s="23" t="str">
        <x:v>企业智能体+IT运维</x:v>
      </x:c>
      <x:c r="G35" s="23" t="str">
        <x:v>AI智能体工程师</x:v>
      </x:c>
      <x:c r="H35" s="23" t="str">
        <x:v>深圳</x:v>
      </x:c>
      <x:c r="I35" s="25" t="n">
        <x:f>ROUND(AB35*0.3+AC35*0.25+AD35*0.25+AE35*0.2-AF35,0)</x:f>
        <x:v>80</x:v>
      </x:c>
      <x:c r="J35" s="23" t="str">
        <x:v>中</x:v>
      </x:c>
      <x:c r="K35" s="23" t="str">
        <x:v>低</x:v>
      </x:c>
      <x:c r="L35" s="23" t="str">
        <x:v>20–35K/月</x:v>
      </x:c>
      <x:c r="M35" s="23" t="str">
        <x:v>未披露</x:v>
      </x:c>
      <x:c r="N35" s="23" t="str">
        <x:v>未披露；加班情况需面试核验</x:v>
      </x:c>
      <x:c r="O35" s="23" t="str">
        <x:v>5年以上；Dify/Coze/LangChain、RAG/Function Calling、ERP/MES/OA、数据仓库/BI与IT运维。</x:v>
      </x:c>
      <x:c r="P35" s="23" t="str">
        <x:v>Agent平台、企业系统集成与后端经验有用。</x:v>
      </x:c>
      <x:c r="Q35" s="23" t="str">
        <x:v>混合IT运维/信息化且要求5年，可能稀释Agent研发深度。</x:v>
      </x:c>
      <x:c r="R35" s="23" t="str">
        <x:v>猎聘</x:v>
      </x:c>
      <x:c r="S35" s="23" t="str">
        <x:v>https://www.liepin.com/job/1983829667.shtml</x:v>
      </x:c>
      <x:c r="T35" s="23" t="str">
        <x:v>https://www.liepin.com/job/1983829667.shtml</x:v>
      </x:c>
      <x:c r="U35" s="23" t="str">
        <x:v>无可核验公开码</x:v>
      </x:c>
      <x:c r="V35" s="23" t="str">
        <x:v>B</x:v>
      </x:c>
      <x:c r="W35" s="24" t="n">
        <x:v>46226</x:v>
      </x:c>
      <x:c r="X35" s="24" t="n">
        <x:v>46262</x:v>
      </x:c>
      <x:c r="Y35" s="23" t="str">
        <x:f>IF(B35="暂缓","暂不投；先核验目标城市相似岗与冷却期",IF(D35="暂停招聘","停止投递；仅保留岗位画像",IF(D35="待本人继续","本人继续完成未提交申请",IF(D35="待本人确认","本人核验是否生成投递记录",IF(D35="待本人手工","本人从官网手工投递",IF(R35="邮件直投","发邮件：岗位名+刘启仁，附PDF",IF(V35="C","先核验HC/客户/用工主体","从官网入口投递")))))))</x:f>
        <x:v>从官网入口投递</x:v>
      </x:c>
      <x:c r="Z35" s="24"/>
      <x:c r="AA35" s="23" t="str"/>
      <x:c r="AB35" s="23" t="n">
        <x:v>88</x:v>
      </x:c>
      <x:c r="AC35" s="23" t="n">
        <x:v>82</x:v>
      </x:c>
      <x:c r="AD35" s="23" t="n">
        <x:v>85</x:v>
      </x:c>
      <x:c r="AE35" s="23" t="n">
        <x:v>70</x:v>
      </x:c>
      <x:c r="AF35" s="23" t="n">
        <x:v>2</x:v>
      </x:c>
    </x:row>
    <x:row r="36" ht="66" customHeight="1">
      <x:c r="A36" s="23" t="str">
        <x:v>N009</x:v>
      </x:c>
      <x:c r="B36" s="23" t="str">
        <x:v>次投</x:v>
      </x:c>
      <x:c r="C36" s="23" t="str">
        <x:f>IF(B36="暂缓","HOLD",IF(I36&gt;=90,"S",IF(I36&gt;=82,"A",IF(I36&gt;=72,"B","C"))))</x:f>
        <x:v>B</x:v>
      </x:c>
      <x:c r="D36" s="23" t="str">
        <x:v>待投</x:v>
      </x:c>
      <x:c r="E36" s="23" t="str">
        <x:v>腾讯 Level Infinite</x:v>
      </x:c>
      <x:c r="F36" s="23" t="str">
        <x:v>游戏研发工具链</x:v>
      </x:c>
      <x:c r="G36" s="23" t="str">
        <x:v>AI Agent开发工程师（游戏研发，R107498）</x:v>
      </x:c>
      <x:c r="H36" s="23" t="str">
        <x:v>广州</x:v>
      </x:c>
      <x:c r="I36" s="25" t="n">
        <x:f>ROUND(AB36*0.3+AC36*0.25+AD36*0.25+AE36*0.2-AF36,0)</x:f>
        <x:v>78</x:v>
      </x:c>
      <x:c r="J36" s="23" t="str">
        <x:v>高</x:v>
      </x:c>
      <x:c r="K36" s="23" t="str">
        <x:v>中</x:v>
      </x:c>
      <x:c r="L36" s="23" t="str">
        <x:v>未披露</x:v>
      </x:c>
      <x:c r="M36" s="23" t="str">
        <x:v>Onsite（官网明确）</x:v>
      </x:c>
      <x:c r="N36" s="23" t="str">
        <x:v>未披露；加班情况需面试核验</x:v>
      </x:c>
      <x:c r="O36" s="23" t="str">
        <x:v>Python/C++；游戏研发流程、UE4/5插件优先；Agent/LLM、Tool Calling、RAG；Agent效果评估。</x:v>
      </x:c>
      <x:c r="P36" s="23" t="str">
        <x:v>Agent工具链、可观测、评测、自动化测试和Codex使用经验强。</x:v>
      </x:c>
      <x:c r="Q36" s="23" t="str">
        <x:v>缺游戏/UE5/C++插件经验；同公司在上海有大量研发岗，若保留上海腾讯机会可暂缓。</x:v>
      </x:c>
      <x:c r="R36" s="23" t="str">
        <x:v>腾讯Workday官网</x:v>
      </x:c>
      <x:c r="S36" s="23" t="str">
        <x:v>https://tencent.wd1.myworkdayjobs.com/zh-CN/Tencent_Careers/job/AI-Agent--_R107498-2</x:v>
      </x:c>
      <x:c r="T36" s="23" t="str">
        <x:v>https://tencent.wd1.myworkdayjobs.com/zh-CN/Tencent_Careers/job/AI-Agent--_R107498-2</x:v>
      </x:c>
      <x:c r="U36" s="23" t="str">
        <x:v>无可核验公开码</x:v>
      </x:c>
      <x:c r="V36" s="23" t="str">
        <x:v>A</x:v>
      </x:c>
      <x:c r="W36" s="24"/>
      <x:c r="X36" s="24" t="n">
        <x:v>46262</x:v>
      </x:c>
      <x:c r="Y36" s="23" t="str">
        <x:f>IF(B36="暂缓","暂不投；先核验目标城市相似岗与冷却期",IF(D36="暂停招聘","停止投递；仅保留岗位画像",IF(D36="待本人继续","本人继续完成未提交申请",IF(D36="待本人确认","本人核验是否生成投递记录",IF(D36="待本人手工","本人从官网手工投递",IF(R36="邮件直投","发邮件：岗位名+刘启仁，附PDF",IF(V36="C","先核验HC/客户/用工主体","从官网入口投递")))))))</x:f>
        <x:v>从官网入口投递</x:v>
      </x:c>
      <x:c r="Z36" s="24"/>
      <x:c r="AA36" s="23" t="str"/>
      <x:c r="AB36" s="23" t="n">
        <x:v>96</x:v>
      </x:c>
      <x:c r="AC36" s="23" t="n">
        <x:v>78</x:v>
      </x:c>
      <x:c r="AD36" s="23" t="n">
        <x:v>84</x:v>
      </x:c>
      <x:c r="AE36" s="23" t="n">
        <x:v>82</x:v>
      </x:c>
      <x:c r="AF36" s="23" t="n">
        <x:v>8</x:v>
      </x:c>
    </x:row>
    <x:row r="37" ht="66" customHeight="1">
      <x:c r="A37" s="23" t="str">
        <x:v>N008</x:v>
      </x:c>
      <x:c r="B37" s="23" t="str">
        <x:v>次投</x:v>
      </x:c>
      <x:c r="C37" s="23" t="str">
        <x:f>IF(B37="暂缓","HOLD",IF(I37&gt;=90,"S",IF(I37&gt;=82,"A",IF(I37&gt;=72,"B","C"))))</x:f>
        <x:v>B</x:v>
      </x:c>
      <x:c r="D37" s="23" t="str">
        <x:v>待投</x:v>
      </x:c>
      <x:c r="E37" s="23" t="str">
        <x:v>Michael Page代招</x:v>
      </x:c>
      <x:c r="F37" s="23" t="str">
        <x:v>工业/制造AI</x:v>
      </x:c>
      <x:c r="G37" s="23" t="str">
        <x:v>AI Agent（经理/专家）</x:v>
      </x:c>
      <x:c r="H37" s="23" t="str">
        <x:v>佛山</x:v>
      </x:c>
      <x:c r="I37" s="25" t="n">
        <x:f>ROUND(AB37*0.3+AC37*0.25+AD37*0.25+AE37*0.2-AF37,0)</x:f>
        <x:v>77</x:v>
      </x:c>
      <x:c r="J37" s="23" t="str">
        <x:v>高</x:v>
      </x:c>
      <x:c r="K37" s="23" t="str">
        <x:v>低</x:v>
      </x:c>
      <x:c r="L37" s="23" t="str">
        <x:v>未披露；有年终奖</x:v>
      </x:c>
      <x:c r="M37" s="23" t="str">
        <x:v>未披露</x:v>
      </x:c>
      <x:c r="N37" s="23" t="str">
        <x:v>未披露；加班情况需面试核验</x:v>
      </x:c>
      <x:c r="O37" s="23" t="str">
        <x:v>本科；3年以上AI Agent经验；完整落地至少1个AI应用；Python/Java与大模型经验。</x:v>
      </x:c>
      <x:c r="P37" s="23" t="str">
        <x:v>完整Agent应用、工程交付和微软背景有说服力。</x:v>
      </x:c>
      <x:c r="Q37" s="23" t="str">
        <x:v>岗位名经理/专家且要求3年Agent经验；客户未具名，先核验级别和用工主体。</x:v>
      </x:c>
      <x:c r="R37" s="23" t="str">
        <x:v>猎头官网</x:v>
      </x:c>
      <x:c r="S37" s="23" t="str">
        <x:v>https://www.michaelpage.com.cn/job-detail/ai-agent%E7%BB%8F%E7%90%86%E4%B8%93%E5%AE%B6/ref/jn-042026-6986750</x:v>
      </x:c>
      <x:c r="T37" s="23" t="str">
        <x:v>https://www.michaelpage.com.cn/job-detail/ai-agent%E7%BB%8F%E7%90%86%E4%B8%93%E5%AE%B6/ref/jn-042026-6986750</x:v>
      </x:c>
      <x:c r="U37" s="23" t="str">
        <x:v>无可核验公开码</x:v>
      </x:c>
      <x:c r="V37" s="23" t="str">
        <x:v>B</x:v>
      </x:c>
      <x:c r="W37" s="24"/>
      <x:c r="X37" s="24" t="n">
        <x:v>46262</x:v>
      </x:c>
      <x:c r="Y37" s="23" t="str">
        <x:f>IF(B37="暂缓","暂不投；先核验目标城市相似岗与冷却期",IF(D37="暂停招聘","停止投递；仅保留岗位画像",IF(D37="待本人继续","本人继续完成未提交申请",IF(D37="待本人确认","本人核验是否生成投递记录",IF(D37="待本人手工","本人从官网手工投递",IF(R37="邮件直投","发邮件：岗位名+刘启仁，附PDF",IF(V37="C","先核验HC/客户/用工主体","从官网入口投递")))))))</x:f>
        <x:v>从官网入口投递</x:v>
      </x:c>
      <x:c r="Z37" s="24"/>
      <x:c r="AA37" s="23" t="str"/>
      <x:c r="AB37" s="23" t="n">
        <x:v>94</x:v>
      </x:c>
      <x:c r="AC37" s="23" t="n">
        <x:v>75</x:v>
      </x:c>
      <x:c r="AD37" s="23" t="n">
        <x:v>86</x:v>
      </x:c>
      <x:c r="AE37" s="23" t="n">
        <x:v>70</x:v>
      </x:c>
      <x:c r="AF37" s="23" t="n">
        <x:v>5</x:v>
      </x:c>
    </x:row>
    <x:row r="38" ht="66" customHeight="1">
      <x:c r="A38" s="23" t="str">
        <x:v>SZ006</x:v>
      </x:c>
      <x:c r="B38" s="23" t="str">
        <x:v>次投</x:v>
      </x:c>
      <x:c r="C38" s="23" t="str">
        <x:f>IF(B38="暂缓","HOLD",IF(I38&gt;=90,"S",IF(I38&gt;=82,"A",IF(I38&gt;=72,"B","C"))))</x:f>
        <x:v>B</x:v>
      </x:c>
      <x:c r="D38" s="23" t="str">
        <x:v>待投</x:v>
      </x:c>
      <x:c r="E38" s="23" t="str">
        <x:v>鹏劳人力 / 中国电信深圳分公司</x:v>
      </x:c>
      <x:c r="F38" s="23" t="str">
        <x:v>智能体服务与测试</x:v>
      </x:c>
      <x:c r="G38" s="23" t="str">
        <x:v>大模型应用开发工程师</x:v>
      </x:c>
      <x:c r="H38" s="23" t="str">
        <x:v>深圳</x:v>
      </x:c>
      <x:c r="I38" s="25" t="n">
        <x:f>ROUND(AB38*0.3+AC38*0.25+AD38*0.25+AE38*0.2-AF38,0)</x:f>
        <x:v>76</x:v>
      </x:c>
      <x:c r="J38" s="23" t="str">
        <x:v>中</x:v>
      </x:c>
      <x:c r="K38" s="23" t="str">
        <x:v>低</x:v>
      </x:c>
      <x:c r="L38" s="23" t="str">
        <x:v>9–10K/月；综合年薪&gt;12万</x:v>
      </x:c>
      <x:c r="M38" s="23" t="str">
        <x:v>现场/派遣</x:v>
      </x:c>
      <x:c r="N38" s="23" t="str">
        <x:v>周一至周五 8:30–17:30（JD明确）；加班未披露</x:v>
      </x:c>
      <x:c r="O38" s="23" t="str">
        <x:v>1-3年；Python/Java、RAG/向量库、PyTorch/vLLM、本地部署、微调、0-1交付。</x:v>
      </x:c>
      <x:c r="P38" s="23" t="str">
        <x:v>Agent/RAG与交付能力明显超出要求，工时信息透明。</x:v>
      </x:c>
      <x:c r="Q38" s="23" t="str">
        <x:v>外包/派遣且薪资偏低；只作为低成本练面或过渡。</x:v>
      </x:c>
      <x:c r="R38" s="23" t="str">
        <x:v>智联招聘</x:v>
      </x:c>
      <x:c r="S38" s="23" t="str">
        <x:v>https://www.zhaopin.com/jobdetail/CC138924830J40906407912.htm</x:v>
      </x:c>
      <x:c r="T38" s="23" t="str">
        <x:v>https://www.zhaopin.com/jobdetail/CC138924830J40906407912.htm</x:v>
      </x:c>
      <x:c r="U38" s="23" t="str">
        <x:v>无可核验公开码</x:v>
      </x:c>
      <x:c r="V38" s="23" t="str">
        <x:v>B</x:v>
      </x:c>
      <x:c r="W38" s="24"/>
      <x:c r="X38" s="24" t="n">
        <x:v>46262</x:v>
      </x:c>
      <x:c r="Y38" s="23" t="str">
        <x:f>IF(B38="暂缓","暂不投；先核验目标城市相似岗与冷却期",IF(D38="暂停招聘","停止投递；仅保留岗位画像",IF(D38="待本人继续","本人继续完成未提交申请",IF(D38="待本人确认","本人核验是否生成投递记录",IF(D38="待本人手工","本人从官网手工投递",IF(R38="邮件直投","发邮件：岗位名+刘启仁，附PDF",IF(V38="C","先核验HC/客户/用工主体","从官网入口投递")))))))</x:f>
        <x:v>从官网入口投递</x:v>
      </x:c>
      <x:c r="Z38" s="24"/>
      <x:c r="AA38" s="23" t="str"/>
      <x:c r="AB38" s="23" t="n">
        <x:v>88</x:v>
      </x:c>
      <x:c r="AC38" s="23" t="n">
        <x:v>90</x:v>
      </x:c>
      <x:c r="AD38" s="23" t="n">
        <x:v>86</x:v>
      </x:c>
      <x:c r="AE38" s="23" t="n">
        <x:v>70</x:v>
      </x:c>
      <x:c r="AF38" s="23" t="n">
        <x:v>8</x:v>
      </x:c>
    </x:row>
    <x:row r="39" ht="66" customHeight="1">
      <x:c r="A39" s="23" t="str">
        <x:v>H007</x:v>
      </x:c>
      <x:c r="B39" s="23" t="str">
        <x:v>暂缓</x:v>
      </x:c>
      <x:c r="C39" s="23" t="str">
        <x:f>IF(B39="暂缓","HOLD",IF(I39&gt;=90,"S",IF(I39&gt;=82,"A",IF(I39&gt;=72,"B","C"))))</x:f>
        <x:v>HOLD</x:v>
      </x:c>
      <x:c r="D39" s="23" t="str">
        <x:v>暂缓</x:v>
      </x:c>
      <x:c r="E39" s="23" t="str">
        <x:v>小米</x:v>
      </x:c>
      <x:c r="F39" s="23" t="str">
        <x:v>AI Agent开发平台 / AI Coding</x:v>
      </x:c>
      <x:c r="G39" s="23" t="str">
        <x:v>AI Agent开发工程师（A238670）</x:v>
      </x:c>
      <x:c r="H39" s="23" t="str">
        <x:v>深圳</x:v>
      </x:c>
      <x:c r="I39" s="25" t="n">
        <x:f>ROUND(AB39*0.3+AC39*0.25+AD39*0.25+AE39*0.2-AF39,0)</x:f>
        <x:v>78</x:v>
      </x:c>
      <x:c r="J39" s="23" t="str">
        <x:v>高</x:v>
      </x:c>
      <x:c r="K39" s="23" t="str">
        <x:v>高</x:v>
      </x:c>
      <x:c r="L39" s="23" t="str">
        <x:v>未披露</x:v>
      </x:c>
      <x:c r="M39" s="23" t="str">
        <x:v>未披露</x:v>
      </x:c>
      <x:c r="N39" s="23" t="str">
        <x:v>未披露；加班情况需面试核验</x:v>
      </x:c>
      <x:c r="O39" s="23" t="str">
        <x:v>3年以上；执行引擎、工具链、任务编排、多Agent、代码仓库RAG、Bad Case和性能。</x:v>
      </x:c>
      <x:c r="P39" s="23" t="str">
        <x:v>Commit检索、代码Agent、评测、RAG与稳定性几乎完全一致。</x:v>
      </x:c>
      <x:c r="Q39" s="23" t="str">
        <x:v>官网需按职位ID二次确认；小米在上海/北京可能有相似AI岗位。</x:v>
      </x:c>
      <x:c r="R39" s="23" t="str">
        <x:v>小米招聘官网</x:v>
      </x:c>
      <x:c r="S39" s="23" t="str">
        <x:v>https://hr.xiaomi.com/website/opportunities.html</x:v>
      </x:c>
      <x:c r="T39" s="23" t="str">
        <x:v>https://www.recruit.net/job/ai-agent-jobs/0A763EC2D10AD1DA</x:v>
      </x:c>
      <x:c r="U39" s="23" t="str">
        <x:v>无可核验公开码</x:v>
      </x:c>
      <x:c r="V39" s="23" t="str">
        <x:v>B</x:v>
      </x:c>
      <x:c r="W39" s="24"/>
      <x:c r="X39" s="24" t="n">
        <x:v>46262</x:v>
      </x:c>
      <x:c r="Y39" s="23" t="str">
        <x:f>IF(B39="暂缓","暂不投；先核验目标城市相似岗与冷却期",IF(D39="暂停招聘","停止投递；仅保留岗位画像",IF(D39="待本人继续","本人继续完成未提交申请",IF(D39="待本人确认","本人核验是否生成投递记录",IF(D39="待本人手工","本人从官网手工投递",IF(R39="邮件直投","发邮件：岗位名+刘启仁，附PDF",IF(V39="C","先核验HC/客户/用工主体","从官网入口投递")))))))</x:f>
        <x:v>暂不投；先核验目标城市相似岗与冷却期</x:v>
      </x:c>
      <x:c r="Z39" s="24"/>
      <x:c r="AA39" s="23" t="str">
        <x:v>若未来认真投上海小米，建议先向HR确认跨城市冷却期。</x:v>
      </x:c>
      <x:c r="AB39" s="23" t="n">
        <x:v>98</x:v>
      </x:c>
      <x:c r="AC39" s="23" t="n">
        <x:v>96</x:v>
      </x:c>
      <x:c r="AD39" s="23" t="n">
        <x:v>94</x:v>
      </x:c>
      <x:c r="AE39" s="23" t="n">
        <x:v>95</x:v>
      </x:c>
      <x:c r="AF39" s="23" t="n">
        <x:v>18</x:v>
      </x:c>
    </x:row>
    <x:row r="40" ht="66" customHeight="1">
      <x:c r="A40" s="23" t="str">
        <x:v>H002</x:v>
      </x:c>
      <x:c r="B40" s="23" t="str">
        <x:v>暂缓</x:v>
      </x:c>
      <x:c r="C40" s="23" t="str">
        <x:f>IF(B40="暂缓","HOLD",IF(I40&gt;=90,"S",IF(I40&gt;=82,"A",IF(I40&gt;=72,"B","C"))))</x:f>
        <x:v>HOLD</x:v>
      </x:c>
      <x:c r="D40" s="23" t="str">
        <x:v>暂缓</x:v>
      </x:c>
      <x:c r="E40" s="23" t="str">
        <x:v>字节跳动</x:v>
      </x:c>
      <x:c r="F40" s="23" t="str">
        <x:v>集团信息系统</x:v>
      </x:c>
      <x:c r="G40" s="23" t="str">
        <x:v>AI Agent后端开发工程师（AI垂直场景）</x:v>
      </x:c>
      <x:c r="H40" s="23" t="str">
        <x:v>深圳</x:v>
      </x:c>
      <x:c r="I40" s="25" t="n">
        <x:f>ROUND(AB40*0.3+AC40*0.25+AD40*0.25+AE40*0.2-AF40,0)</x:f>
        <x:v>76</x:v>
      </x:c>
      <x:c r="J40" s="23" t="str">
        <x:v>高</x:v>
      </x:c>
      <x:c r="K40" s="23" t="str">
        <x:v>高</x:v>
      </x:c>
      <x:c r="L40" s="23" t="str">
        <x:v>未披露</x:v>
      </x:c>
      <x:c r="M40" s="23" t="str">
        <x:v>未披露</x:v>
      </x:c>
      <x:c r="N40" s="23" t="str">
        <x:v>未披露；加班情况需面试核验</x:v>
      </x:c>
      <x:c r="O40" s="23" t="str">
        <x:v>2年以上后端；Go/Java/Python、分布式/微服务、Agent、RAG、LangGraph/Claude Agent SDK。</x:v>
      </x:c>
      <x:c r="P40" s="23" t="str">
        <x:v>4年经验和Agent工程高度贴合。</x:v>
      </x:c>
      <x:c r="Q40" s="23" t="str">
        <x:v>字节上海存在相似岗位，候选人记录可能跨城市共享。</x:v>
      </x:c>
      <x:c r="R40" s="23" t="str">
        <x:v>字节招聘官网</x:v>
      </x:c>
      <x:c r="S40" s="23" t="str">
        <x:v>https://jobs.bytedance.com/experienced/position/7636694952900004101/detail</x:v>
      </x:c>
      <x:c r="T40" s="23" t="str">
        <x:v>https://jobs.ultraai.site/jobs/bytedance/7636694952900004101</x:v>
      </x:c>
      <x:c r="U40" s="23" t="str">
        <x:v>无可核验公开码</x:v>
      </x:c>
      <x:c r="V40" s="23" t="str">
        <x:v>A</x:v>
      </x:c>
      <x:c r="W40" s="24" t="n">
        <x:v>46148</x:v>
      </x:c>
      <x:c r="X40" s="24" t="n">
        <x:v>46262</x:v>
      </x:c>
      <x:c r="Y40" s="23" t="str">
        <x:f>IF(B40="暂缓","暂不投；先核验目标城市相似岗与冷却期",IF(D40="暂停招聘","停止投递；仅保留岗位画像",IF(D40="待本人继续","本人继续完成未提交申请",IF(D40="待本人确认","本人核验是否生成投递记录",IF(D40="待本人手工","本人从官网手工投递",IF(R40="邮件直投","发邮件：岗位名+刘启仁，附PDF",IF(V40="C","先核验HC/客户/用工主体","从官网入口投递")))))))</x:f>
        <x:v>暂不投；先核验目标城市相似岗与冷却期</x:v>
      </x:c>
      <x:c r="Z40" s="24"/>
      <x:c r="AA40" s="23" t="str">
        <x:v>为保留上海字节机会，建议先不投。</x:v>
      </x:c>
      <x:c r="AB40" s="23" t="n">
        <x:v>98</x:v>
      </x:c>
      <x:c r="AC40" s="23" t="n">
        <x:v>94</x:v>
      </x:c>
      <x:c r="AD40" s="23" t="n">
        <x:v>95</x:v>
      </x:c>
      <x:c r="AE40" s="23" t="n">
        <x:v>96</x:v>
      </x:c>
      <x:c r="AF40" s="23" t="n">
        <x:v>20</x:v>
      </x:c>
    </x:row>
    <x:row r="41" ht="66" customHeight="1">
      <x:c r="A41" s="23" t="str">
        <x:v>H001</x:v>
      </x:c>
      <x:c r="B41" s="23" t="str">
        <x:v>暂缓</x:v>
      </x:c>
      <x:c r="C41" s="23" t="str">
        <x:f>IF(B41="暂缓","HOLD",IF(I41&gt;=90,"S",IF(I41&gt;=82,"A",IF(I41&gt;=72,"B","C"))))</x:f>
        <x:v>HOLD</x:v>
      </x:c>
      <x:c r="D41" s="23" t="str">
        <x:v>暂缓</x:v>
      </x:c>
      <x:c r="E41" s="23" t="str">
        <x:v>字节跳动</x:v>
      </x:c>
      <x:c r="F41" s="23" t="str">
        <x:v>集团信息系统</x:v>
      </x:c>
      <x:c r="G41" s="23" t="str">
        <x:v>AI Agent后端开发工程师（AI垂直场景）</x:v>
      </x:c>
      <x:c r="H41" s="23" t="str">
        <x:v>北京</x:v>
      </x:c>
      <x:c r="I41" s="25" t="n">
        <x:f>ROUND(AB41*0.3+AC41*0.25+AD41*0.25+AE41*0.2-AF41,0)</x:f>
        <x:v>71</x:v>
      </x:c>
      <x:c r="J41" s="23" t="str">
        <x:v>高</x:v>
      </x:c>
      <x:c r="K41" s="23" t="str">
        <x:v>高</x:v>
      </x:c>
      <x:c r="L41" s="23" t="str">
        <x:v>未披露</x:v>
      </x:c>
      <x:c r="M41" s="23" t="str">
        <x:v>未披露</x:v>
      </x:c>
      <x:c r="N41" s="23" t="str">
        <x:v>未披露；加班情况需面试核验</x:v>
      </x:c>
      <x:c r="O41" s="23" t="str">
        <x:v>5年以上后端；Go/Java/Python、分布式、Agent/RAG、规划/记忆、Eval/可观测。</x:v>
      </x:c>
      <x:c r="P41" s="23" t="str">
        <x:v>Agent/RAG、可靠性和高并发后端高度匹配。</x:v>
      </x:c>
      <x:c r="Q41" s="23" t="str">
        <x:v>5年门槛略高；字节上海存在相似Agent岗位，可能共享候选人记录。</x:v>
      </x:c>
      <x:c r="R41" s="23" t="str">
        <x:v>字节招聘官网</x:v>
      </x:c>
      <x:c r="S41" s="23" t="str">
        <x:v>https://jobs.bytedance.com/experienced/position/7636681993664874757/detail</x:v>
      </x:c>
      <x:c r="T41" s="23" t="str">
        <x:v>https://jobs.ultraai.site/jobs/bytedance/7636681993664874757</x:v>
      </x:c>
      <x:c r="U41" s="23" t="str">
        <x:v>无可核验公开码</x:v>
      </x:c>
      <x:c r="V41" s="23" t="str">
        <x:v>A</x:v>
      </x:c>
      <x:c r="W41" s="24" t="n">
        <x:v>46148</x:v>
      </x:c>
      <x:c r="X41" s="24" t="n">
        <x:v>46262</x:v>
      </x:c>
      <x:c r="Y41" s="23" t="str">
        <x:f>IF(B41="暂缓","暂不投；先核验目标城市相似岗与冷却期",IF(D41="暂停招聘","停止投递；仅保留岗位画像",IF(D41="待本人继续","本人继续完成未提交申请",IF(D41="待本人确认","本人核验是否生成投递记录",IF(D41="待本人手工","本人从官网手工投递",IF(R41="邮件直投","发邮件：岗位名+刘启仁，附PDF",IF(V41="C","先核验HC/客户/用工主体","从官网入口投递")))))))</x:f>
        <x:v>暂不投；先核验目标城市相似岗与冷却期</x:v>
      </x:c>
      <x:c r="Z41" s="24"/>
      <x:c r="AA41" s="23" t="str">
        <x:v>为保留上海字节机会，建议先不投。</x:v>
      </x:c>
      <x:c r="AB41" s="23" t="n">
        <x:v>98</x:v>
      </x:c>
      <x:c r="AC41" s="23" t="n">
        <x:v>94</x:v>
      </x:c>
      <x:c r="AD41" s="23" t="n">
        <x:v>96</x:v>
      </x:c>
      <x:c r="AE41" s="23" t="n">
        <x:v>70</x:v>
      </x:c>
      <x:c r="AF41" s="23" t="n">
        <x:v>20</x:v>
      </x:c>
    </x:row>
    <x:row r="42" ht="66" customHeight="1">
      <x:c r="A42" s="23" t="str">
        <x:v>H003</x:v>
      </x:c>
      <x:c r="B42" s="23" t="str">
        <x:v>暂缓</x:v>
      </x:c>
      <x:c r="C42" s="23" t="str">
        <x:f>IF(B42="暂缓","HOLD",IF(I42&gt;=90,"S",IF(I42&gt;=82,"A",IF(I42&gt;=72,"B","C"))))</x:f>
        <x:v>HOLD</x:v>
      </x:c>
      <x:c r="D42" s="23" t="str">
        <x:v>暂缓</x:v>
      </x:c>
      <x:c r="E42" s="23" t="str">
        <x:v>字节跳动 / 火山引擎</x:v>
      </x:c>
      <x:c r="F42" s="23" t="str">
        <x:v>计算平台</x:v>
      </x:c>
      <x:c r="G42" s="23" t="str">
        <x:v>AI Agent研发工程师-计算</x:v>
      </x:c>
      <x:c r="H42" s="23" t="str">
        <x:v>西安</x:v>
      </x:c>
      <x:c r="I42" s="25" t="n">
        <x:f>ROUND(AB42*0.3+AC42*0.25+AD42*0.25+AE42*0.2-AF42,0)</x:f>
        <x:v>69</x:v>
      </x:c>
      <x:c r="J42" s="23" t="str">
        <x:v>高</x:v>
      </x:c>
      <x:c r="K42" s="23" t="str">
        <x:v>高</x:v>
      </x:c>
      <x:c r="L42" s="23" t="str">
        <x:v>未披露</x:v>
      </x:c>
      <x:c r="M42" s="23" t="str">
        <x:v>未披露</x:v>
      </x:c>
      <x:c r="N42" s="23" t="str">
        <x:v>未披露；加班情况需面试核验</x:v>
      </x:c>
      <x:c r="O42" s="23" t="str">
        <x:v>Agent架构、Context、评测/可观测、MCP；3年以上IaaS/计算平台经验。</x:v>
      </x:c>
      <x:c r="P42" s="23" t="str">
        <x:v>Agent Eval、MCP、K8s和平台工程能力强。</x:v>
      </x:c>
      <x:c r="Q42" s="23" t="str">
        <x:v>IaaS深度不足；字节上海有近似岗位，串档风险高。</x:v>
      </x:c>
      <x:c r="R42" s="23" t="str">
        <x:v>字节招聘官网跳转</x:v>
      </x:c>
      <x:c r="S42" s="23" t="str">
        <x:v>https://jobs.ultraai.site/jobs/bytedance/7571727651531983109</x:v>
      </x:c>
      <x:c r="T42" s="23" t="str">
        <x:v>https://jobs.ultraai.site/jobs/bytedance/7571727651531983109</x:v>
      </x:c>
      <x:c r="U42" s="23" t="str">
        <x:v>无可核验公开码</x:v>
      </x:c>
      <x:c r="V42" s="23" t="str">
        <x:v>B</x:v>
      </x:c>
      <x:c r="W42" s="24" t="n">
        <x:v>45973</x:v>
      </x:c>
      <x:c r="X42" s="24" t="n">
        <x:v>46262</x:v>
      </x:c>
      <x:c r="Y42" s="23" t="str">
        <x:f>IF(B42="暂缓","暂不投；先核验目标城市相似岗与冷却期",IF(D42="暂停招聘","停止投递；仅保留岗位画像",IF(D42="待本人继续","本人继续完成未提交申请",IF(D42="待本人确认","本人核验是否生成投递记录",IF(D42="待本人手工","本人从官网手工投递",IF(R42="邮件直投","发邮件：岗位名+刘启仁，附PDF",IF(V42="C","先核验HC/客户/用工主体","从官网入口投递")))))))</x:f>
        <x:v>暂不投；先核验目标城市相似岗与冷却期</x:v>
      </x:c>
      <x:c r="Z42" s="24"/>
      <x:c r="AA42" s="23" t="str">
        <x:v>为保留上海字节机会，建议先不投。</x:v>
      </x:c>
      <x:c r="AB42" s="23" t="n">
        <x:v>96</x:v>
      </x:c>
      <x:c r="AC42" s="23" t="n">
        <x:v>78</x:v>
      </x:c>
      <x:c r="AD42" s="23" t="n">
        <x:v>92</x:v>
      </x:c>
      <x:c r="AE42" s="23" t="n">
        <x:v>88</x:v>
      </x:c>
      <x:c r="AF42" s="23" t="n">
        <x:v>20</x:v>
      </x:c>
    </x:row>
    <x:row r="43" ht="66" customHeight="1">
      <x:c r="A43" s="23" t="str">
        <x:v>H004</x:v>
      </x:c>
      <x:c r="B43" s="23" t="str">
        <x:v>暂缓</x:v>
      </x:c>
      <x:c r="C43" s="23" t="str">
        <x:f>IF(B43="暂缓","HOLD",IF(I43&gt;=90,"S",IF(I43&gt;=82,"A",IF(I43&gt;=72,"B","C"))))</x:f>
        <x:v>HOLD</x:v>
      </x:c>
      <x:c r="D43" s="23" t="str">
        <x:v>暂缓</x:v>
      </x:c>
      <x:c r="E43" s="23" t="str">
        <x:v>高德地图</x:v>
      </x:c>
      <x:c r="F43" s="23" t="str">
        <x:v>Agent研发专项</x:v>
      </x:c>
      <x:c r="G43" s="23" t="str">
        <x:v>高级AI应用工程师</x:v>
      </x:c>
      <x:c r="H43" s="23" t="str">
        <x:v>北京</x:v>
      </x:c>
      <x:c r="I43" s="25" t="n">
        <x:f>ROUND(AB43*0.3+AC43*0.25+AD43*0.25+AE43*0.2-AF43,0)</x:f>
        <x:v>68</x:v>
      </x:c>
      <x:c r="J43" s="23" t="str">
        <x:v>高</x:v>
      </x:c>
      <x:c r="K43" s="23" t="str">
        <x:v>高</x:v>
      </x:c>
      <x:c r="L43" s="23" t="str">
        <x:v>未披露</x:v>
      </x:c>
      <x:c r="M43" s="23" t="str">
        <x:v>未披露</x:v>
      </x:c>
      <x:c r="N43" s="23" t="str">
        <x:v>未披露；加班情况需面试核验</x:v>
      </x:c>
      <x:c r="O43" s="23" t="str">
        <x:v>5年以上后端；Python/Go、K8s/Docker、生产Agent、RAG、LangGraph/AutoGen/Semantic Kernel。</x:v>
      </x:c>
      <x:c r="P43" s="23" t="str">
        <x:v>Evidence Gate、拒答门禁、K8s和系统性能高度对口。</x:v>
      </x:c>
      <x:c r="Q43" s="23" t="str">
        <x:v>5年门槛；高德/阿里在杭州是核心目标公司，候选人体系可能共享。</x:v>
      </x:c>
      <x:c r="R43" s="23" t="str">
        <x:v>高德招聘官网</x:v>
      </x:c>
      <x:c r="S43" s="23" t="str">
        <x:v>https://talent.amap.com/off-campus/position-detail?positionId=100012920005</x:v>
      </x:c>
      <x:c r="T43" s="23" t="str">
        <x:v>https://jobs.ultraai.site/jobs/amap/100012920005</x:v>
      </x:c>
      <x:c r="U43" s="23" t="str">
        <x:v>无可核验公开码</x:v>
      </x:c>
      <x:c r="V43" s="23" t="str">
        <x:v>A</x:v>
      </x:c>
      <x:c r="W43" s="24" t="n">
        <x:v>46256</x:v>
      </x:c>
      <x:c r="X43" s="24" t="n">
        <x:v>46262</x:v>
      </x:c>
      <x:c r="Y43" s="23" t="str">
        <x:f>IF(B43="暂缓","暂不投；先核验目标城市相似岗与冷却期",IF(D43="暂停招聘","停止投递；仅保留岗位画像",IF(D43="待本人继续","本人继续完成未提交申请",IF(D43="待本人确认","本人核验是否生成投递记录",IF(D43="待本人手工","本人从官网手工投递",IF(R43="邮件直投","发邮件：岗位名+刘启仁，附PDF",IF(V43="C","先核验HC/客户/用工主体","从官网入口投递")))))))</x:f>
        <x:v>暂不投；先核验目标城市相似岗与冷却期</x:v>
      </x:c>
      <x:c r="Z43" s="24"/>
      <x:c r="AA43" s="23" t="str">
        <x:v>为保留杭州机会，建议先不投。</x:v>
      </x:c>
      <x:c r="AB43" s="23" t="n">
        <x:v>97</x:v>
      </x:c>
      <x:c r="AC43" s="23" t="n">
        <x:v>95</x:v>
      </x:c>
      <x:c r="AD43" s="23" t="n">
        <x:v>94</x:v>
      </x:c>
      <x:c r="AE43" s="23" t="n">
        <x:v>70</x:v>
      </x:c>
      <x:c r="AF43" s="23" t="n">
        <x:v>22</x:v>
      </x:c>
    </x:row>
    <x:row r="44" ht="66" customHeight="1">
      <x:c r="A44" s="23" t="str">
        <x:v>H006</x:v>
      </x:c>
      <x:c r="B44" s="23" t="str">
        <x:v>暂缓</x:v>
      </x:c>
      <x:c r="C44" s="23" t="str">
        <x:f>IF(B44="暂缓","HOLD",IF(I44&gt;=90,"S",IF(I44&gt;=82,"A",IF(I44&gt;=72,"B","C"))))</x:f>
        <x:v>HOLD</x:v>
      </x:c>
      <x:c r="D44" s="23" t="str">
        <x:v>暂缓</x:v>
      </x:c>
      <x:c r="E44" s="23" t="str">
        <x:v>蚂蚁集团</x:v>
      </x:c>
      <x:c r="F44" s="23" t="str">
        <x:v>AI应用开发</x:v>
      </x:c>
      <x:c r="G44" s="23" t="str">
        <x:v>AI应用工程师</x:v>
      </x:c>
      <x:c r="H44" s="23" t="str">
        <x:v>成都</x:v>
      </x:c>
      <x:c r="I44" s="25" t="n">
        <x:f>ROUND(AB44*0.3+AC44*0.25+AD44*0.25+AE44*0.2-AF44,0)</x:f>
        <x:v>64</x:v>
      </x:c>
      <x:c r="J44" s="23" t="str">
        <x:v>高</x:v>
      </x:c>
      <x:c r="K44" s="23" t="str">
        <x:v>高</x:v>
      </x:c>
      <x:c r="L44" s="23" t="str">
        <x:v>未披露</x:v>
      </x:c>
      <x:c r="M44" s="23" t="str">
        <x:v>未披露</x:v>
      </x:c>
      <x:c r="N44" s="23" t="str">
        <x:v>未披露；加班情况需面试核验</x:v>
      </x:c>
      <x:c r="O44" s="23" t="str">
        <x:v>3年以内；Agent框架、任务编排/工具/记忆、Agent沙箱、容器隔离、K8s、可观测。</x:v>
      </x:c>
      <x:c r="P44" s="23" t="str">
        <x:v>Agent工程、K8s、工具链和可观测非常契合。</x:v>
      </x:c>
      <x:c r="Q44" s="23" t="str">
        <x:v>岗位写3年以内而你4年；蚂蚁核心机会在杭州，候选人体系可能共享。</x:v>
      </x:c>
      <x:c r="R44" s="23" t="str">
        <x:v>蚂蚁招聘官网</x:v>
      </x:c>
      <x:c r="S44" s="23" t="str">
        <x:v>https://talent.antgroup.com/off-campus-position?positionId=260731011189574</x:v>
      </x:c>
      <x:c r="T44" s="23" t="str">
        <x:v>https://jobs.ultraai.site/jobs/ant/260731011189574</x:v>
      </x:c>
      <x:c r="U44" s="23" t="str">
        <x:v>无可核验公开码</x:v>
      </x:c>
      <x:c r="V44" s="23" t="str">
        <x:v>A</x:v>
      </x:c>
      <x:c r="W44" s="24" t="n">
        <x:v>46234</x:v>
      </x:c>
      <x:c r="X44" s="24" t="n">
        <x:v>46262</x:v>
      </x:c>
      <x:c r="Y44" s="23" t="str">
        <x:f>IF(B44="暂缓","暂不投；先核验目标城市相似岗与冷却期",IF(D44="暂停招聘","停止投递；仅保留岗位画像",IF(D44="待本人继续","本人继续完成未提交申请",IF(D44="待本人确认","本人核验是否生成投递记录",IF(D44="待本人手工","本人从官网手工投递",IF(R44="邮件直投","发邮件：岗位名+刘启仁，附PDF",IF(V44="C","先核验HC/客户/用工主体","从官网入口投递")))))))</x:f>
        <x:v>暂不投；先核验目标城市相似岗与冷却期</x:v>
      </x:c>
      <x:c r="Z44" s="24"/>
      <x:c r="AA44" s="23" t="str">
        <x:v>为保留杭州蚂蚁机会，建议先不投。</x:v>
      </x:c>
      <x:c r="AB44" s="23" t="n">
        <x:v>96</x:v>
      </x:c>
      <x:c r="AC44" s="23" t="n">
        <x:v>82</x:v>
      </x:c>
      <x:c r="AD44" s="23" t="n">
        <x:v>92</x:v>
      </x:c>
      <x:c r="AE44" s="23" t="n">
        <x:v>70</x:v>
      </x:c>
      <x:c r="AF44" s="23" t="n">
        <x:v>22</x:v>
      </x:c>
    </x:row>
    <x:row r="45" ht="66" customHeight="1">
      <x:c r="A45" s="23" t="str">
        <x:v>H005</x:v>
      </x:c>
      <x:c r="B45" s="23" t="str">
        <x:v>暂缓</x:v>
      </x:c>
      <x:c r="C45" s="23" t="str">
        <x:f>IF(B45="暂缓","HOLD",IF(I45&gt;=90,"S",IF(I45&gt;=82,"A",IF(I45&gt;=72,"B","C"))))</x:f>
        <x:v>HOLD</x:v>
      </x:c>
      <x:c r="D45" s="23" t="str">
        <x:v>暂缓</x:v>
      </x:c>
      <x:c r="E45" s="23" t="str">
        <x:v>华为云</x:v>
      </x:c>
      <x:c r="F45" s="23" t="str">
        <x:v>算法创新Lab</x:v>
      </x:c>
      <x:c r="G45" s="23" t="str">
        <x:v>AI Agent研发工程师</x:v>
      </x:c>
      <x:c r="H45" s="23" t="str">
        <x:v>北京</x:v>
      </x:c>
      <x:c r="I45" s="25" t="n">
        <x:f>ROUND(AB45*0.3+AC45*0.25+AD45*0.25+AE45*0.2-AF45,0)</x:f>
        <x:v>58</x:v>
      </x:c>
      <x:c r="J45" s="23" t="str">
        <x:v>中</x:v>
      </x:c>
      <x:c r="K45" s="23" t="str">
        <x:v>高</x:v>
      </x:c>
      <x:c r="L45" s="23" t="str">
        <x:v>未披露</x:v>
      </x:c>
      <x:c r="M45" s="23" t="str">
        <x:v>未披露</x:v>
      </x:c>
      <x:c r="N45" s="23" t="str">
        <x:v>未披露；加班情况需面试核验</x:v>
      </x:c>
      <x:c r="O45" s="23" t="str">
        <x:v>强化学习/规划推理的多模态Agent、大规模训推、Python/C/C++/Java/Go、Agent框架。</x:v>
      </x:c>
      <x:c r="P45" s="23" t="str">
        <x:v>生产工程和Agent框架经验有优势。</x:v>
      </x:c>
      <x:c r="Q45" s="23" t="str">
        <x:v>偏算法研究/强化学习；华为在上海/杭州有大量目标岗位。</x:v>
      </x:c>
      <x:c r="R45" s="23" t="str">
        <x:v>华为云官网</x:v>
      </x:c>
      <x:c r="S45" s="23" t="str">
        <x:v>https://www.huaweicloud.com/lab/algorithm/social_recruitment.html</x:v>
      </x:c>
      <x:c r="T45" s="23" t="str">
        <x:v>https://www.huaweicloud.com/lab/algorithm/social_recruitment.html</x:v>
      </x:c>
      <x:c r="U45" s="23" t="str">
        <x:v>无可核验公开码</x:v>
      </x:c>
      <x:c r="V45" s="23" t="str">
        <x:v>A</x:v>
      </x:c>
      <x:c r="W45" s="24"/>
      <x:c r="X45" s="24" t="n">
        <x:v>46262</x:v>
      </x:c>
      <x:c r="Y45" s="23" t="str">
        <x:f>IF(B45="暂缓","暂不投；先核验目标城市相似岗与冷却期",IF(D45="暂停招聘","停止投递；仅保留岗位画像",IF(D45="待本人继续","本人继续完成未提交申请",IF(D45="待本人确认","本人核验是否生成投递记录",IF(D45="待本人手工","本人从官网手工投递",IF(R45="邮件直投","发邮件：岗位名+刘启仁，附PDF",IF(V45="C","先核验HC/客户/用工主体","从官网入口投递")))))))</x:f>
        <x:v>暂不投；先核验目标城市相似岗与冷却期</x:v>
      </x:c>
      <x:c r="Z45" s="24"/>
      <x:c r="AA45" s="23" t="str">
        <x:v>为保留上海/杭州机会，建议先不投。</x:v>
      </x:c>
      <x:c r="AB45" s="23" t="n">
        <x:v>85</x:v>
      </x:c>
      <x:c r="AC45" s="23" t="n">
        <x:v>65</x:v>
      </x:c>
      <x:c r="AD45" s="23" t="n">
        <x:v>82</x:v>
      </x:c>
      <x:c r="AE45" s="23" t="n">
        <x:v>80</x:v>
      </x:c>
      <x:c r="AF45" s="23" t="n">
        <x:v>20</x:v>
      </x:c>
    </x:row>
    <x:row r="46" ht="66" customHeight="1">
      <x:c r="A46" s="23" t="str">
        <x:v>H008</x:v>
      </x:c>
      <x:c r="B46" s="23" t="str">
        <x:v>暂缓</x:v>
      </x:c>
      <x:c r="C46" s="23" t="str">
        <x:f>IF(B46="暂缓","HOLD",IF(I46&gt;=90,"S",IF(I46&gt;=82,"A",IF(I46&gt;=72,"B","C"))))</x:f>
        <x:v>HOLD</x:v>
      </x:c>
      <x:c r="D46" s="23" t="str">
        <x:v>暂缓</x:v>
      </x:c>
      <x:c r="E46" s="23" t="str">
        <x:v>OPPO</x:v>
      </x:c>
      <x:c r="F46" s="23" t="str">
        <x:v>智能助理算法</x:v>
      </x:c>
      <x:c r="G46" s="23" t="str">
        <x:v>NLP算法专家</x:v>
      </x:c>
      <x:c r="H46" s="23" t="str">
        <x:v>深圳</x:v>
      </x:c>
      <x:c r="I46" s="25" t="n">
        <x:f>ROUND(AB46*0.3+AC46*0.25+AD46*0.25+AE46*0.2-AF46,0)</x:f>
        <x:v>58</x:v>
      </x:c>
      <x:c r="J46" s="23" t="str">
        <x:v>中</x:v>
      </x:c>
      <x:c r="K46" s="23" t="str">
        <x:v>高</x:v>
      </x:c>
      <x:c r="L46" s="23" t="str">
        <x:v>未披露</x:v>
      </x:c>
      <x:c r="M46" s="23" t="str">
        <x:v>未披露</x:v>
      </x:c>
      <x:c r="N46" s="23" t="str">
        <x:v>未披露；加班情况需面试核验</x:v>
      </x:c>
      <x:c r="O46" s="23" t="str">
        <x:v>5-10年、硕士；Agent意图/规划/记忆/工具/多Agent，PyTorch/TensorFlow/LangChain。</x:v>
      </x:c>
      <x:c r="P46" s="23" t="str">
        <x:v>端到端Agent和大型产品经验可讲。</x:v>
      </x:c>
      <x:c r="Q46" s="23" t="str">
        <x:v>年限和算法专家深度偏高；OPPO上海研发机会较多。</x:v>
      </x:c>
      <x:c r="R46" s="23" t="str">
        <x:v>OPPO招聘官网</x:v>
      </x:c>
      <x:c r="S46" s="23" t="str">
        <x:v>https://career.oppo.com/official/oppo/recruitment/post/2031682259614556161?recruitType=SOCIAL-RECRUITMENT</x:v>
      </x:c>
      <x:c r="T46" s="23" t="str">
        <x:v>https://career.oppo.com/official/oppo/recruitment/post/2031682259614556161?recruitType=SOCIAL-RECRUITMENT</x:v>
      </x:c>
      <x:c r="U46" s="23" t="str">
        <x:v>无可核验公开码</x:v>
      </x:c>
      <x:c r="V46" s="23" t="str">
        <x:v>A</x:v>
      </x:c>
      <x:c r="W46" s="24" t="n">
        <x:v>46222</x:v>
      </x:c>
      <x:c r="X46" s="24" t="n">
        <x:v>46262</x:v>
      </x:c>
      <x:c r="Y46" s="23" t="str">
        <x:f>IF(B46="暂缓","暂不投；先核验目标城市相似岗与冷却期",IF(D46="暂停招聘","停止投递；仅保留岗位画像",IF(D46="待本人继续","本人继续完成未提交申请",IF(D46="待本人确认","本人核验是否生成投递记录",IF(D46="待本人手工","本人从官网手工投递",IF(R46="邮件直投","发邮件：岗位名+刘启仁，附PDF",IF(V46="C","先核验HC/客户/用工主体","从官网入口投递")))))))</x:f>
        <x:v>暂不投；先核验目标城市相似岗与冷却期</x:v>
      </x:c>
      <x:c r="Z46" s="24"/>
      <x:c r="AA46" s="23" t="str">
        <x:v>匹配度不如应用工程岗，且可能影响上海OPPO记录；暂缓。</x:v>
      </x:c>
      <x:c r="AB46" s="23" t="n">
        <x:v>90</x:v>
      </x:c>
      <x:c r="AC46" s="23" t="n">
        <x:v>72</x:v>
      </x:c>
      <x:c r="AD46" s="23" t="n">
        <x:v>82</x:v>
      </x:c>
      <x:c r="AE46" s="23" t="n">
        <x:v>50</x:v>
      </x:c>
      <x:c r="AF46" s="23" t="n">
        <x:v>18</x:v>
      </x:c>
    </x:row>
  </x:sheetData>
  <x:mergeCells>
    <x:mergeCell ref="A1:AF1"/>
    <x:mergeCell ref="A2:AF2"/>
  </x:mergeCells>
  <x:conditionalFormatting sqref="B4:B46">
    <x:cfRule type="containsText" dxfId="0" priority="1" operator="containsText" text="先投"/>
    <x:cfRule type="containsText" dxfId="1" priority="2" operator="containsText" text="次投"/>
    <x:cfRule type="containsText" dxfId="2" priority="3" operator="containsText" text="暂缓"/>
  </x:conditionalFormatting>
  <x:conditionalFormatting sqref="I4:I46">
    <x:cfRule type="dataBar" priority="4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{31DFB6E4-F028-A03F-1716-3F026B69716F}</x14:id>
        </x:ext>
      </x:extLst>
    </x:cfRule>
  </x:conditionalFormatting>
  <x:conditionalFormatting sqref="C4:C46">
    <x:cfRule type="containsText" dxfId="3" priority="5" operator="containsText" text="HOLD"/>
  </x:conditionalFormatting>
  <x:conditionalFormatting sqref="D4:D46">
    <x:cfRule type="containsText" dxfId="4" priority="6" operator="containsText" text="已投递"/>
    <x:cfRule type="containsText" dxfId="5" priority="7" operator="containsText" text="待本人"/>
    <x:cfRule type="containsText" dxfId="6" priority="8" operator="containsText" text="暂停招聘"/>
  </x:conditionalFormatting>
  <x:dataValidations count="1">
    <x:dataValidation type="list" sqref="D4:D46">
      <x:formula1>"待投,待本人继续,待本人确认,待本人手工,已投递,一面,二面,HR面,Offer,拒绝,暂停招聘,暂缓"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bd080d059c40b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31DFB6E4-F028-A03F-1716-3F026B69716F}">
            <x14:dataBar gradient="1">
              <x14:cfvo type="min"/>
              <x14:cfvo type="max"/>
              <x14:fillColor rgb="FF2F6BFF"/>
            </x14:dataBar>
          </x14:cfRule>
          <xm:sqref>I4:I46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10" hidden="0" customWidth="1"/>
    <x:col min="4" max="4" width="11" hidden="0" customWidth="1"/>
    <x:col min="5" max="5" width="22" hidden="0" customWidth="1"/>
    <x:col min="6" max="6" width="31" hidden="0" customWidth="1"/>
    <x:col min="7" max="7" width="20" hidden="0" customWidth="1"/>
    <x:col min="8" max="8" width="20" hidden="0" customWidth="1"/>
    <x:col min="9" max="9" width="48" hidden="0" customWidth="1"/>
    <x:col min="10" max="10" width="42" hidden="0" customWidth="1"/>
    <x:col min="11" max="11" width="18" hidden="0" customWidth="1"/>
    <x:col min="12" max="12" width="42" hidden="0" customWidth="1"/>
    <x:col min="13" max="13" width="10" hidden="0" customWidth="1"/>
  </x:cols>
  <x:sheetData>
    <x:row r="1" ht="34" customHeight="1">
      <x:c r="A1" s="3" t="str">
        <x:v>扩充新岗｜原新增城市 + 执行包新增8岗</x:v>
      </x:c>
      <x:c r="B1" s="3" t="str">
        <x:v>扩充新岗｜原新增城市 + 执行包新增8岗</x:v>
      </x:c>
      <x:c r="C1" s="3" t="str">
        <x:v>扩充新岗｜原新增城市 + 执行包新增8岗</x:v>
      </x:c>
      <x:c r="D1" s="3" t="str">
        <x:v>扩充新岗｜原新增城市 + 执行包新增8岗</x:v>
      </x:c>
      <x:c r="E1" s="3" t="str">
        <x:v>扩充新岗｜原新增城市 + 执行包新增8岗</x:v>
      </x:c>
      <x:c r="F1" s="3" t="str">
        <x:v>扩充新岗｜原新增城市 + 执行包新增8岗</x:v>
      </x:c>
      <x:c r="G1" s="3" t="str">
        <x:v>扩充新岗｜原新增城市 + 执行包新增8岗</x:v>
      </x:c>
      <x:c r="H1" s="3" t="str">
        <x:v>扩充新岗｜原新增城市 + 执行包新增8岗</x:v>
      </x:c>
      <x:c r="I1" s="3" t="str">
        <x:v>扩充新岗｜原新增城市 + 执行包新增8岗</x:v>
      </x:c>
      <x:c r="J1" s="3" t="str">
        <x:v>扩充新岗｜原新增城市 + 执行包新增8岗</x:v>
      </x:c>
      <x:c r="K1" s="3" t="str">
        <x:v>扩充新岗｜原新增城市 + 执行包新增8岗</x:v>
      </x:c>
      <x:c r="L1" s="3" t="str">
        <x:v>扩充新岗｜原新增城市 + 执行包新增8岗</x:v>
      </x:c>
      <x:c r="M1" s="3" t="str">
        <x:v>扩充新岗｜原新增城市 + 执行包新增8岗</x:v>
      </x:c>
    </x:row>
    <x:row r="3">
      <x:c r="A3" s="30" t="str">
        <x:v>ID</x:v>
      </x:c>
      <x:c r="B3" s="30" t="str">
        <x:v>队列</x:v>
      </x:c>
      <x:c r="C3" s="30" t="str">
        <x:v>匹配分</x:v>
      </x:c>
      <x:c r="D3" s="30" t="str">
        <x:v>城市</x:v>
      </x:c>
      <x:c r="E3" s="30" t="str">
        <x:v>公司</x:v>
      </x:c>
      <x:c r="F3" s="30" t="str">
        <x:v>岗位</x:v>
      </x:c>
      <x:c r="G3" s="30" t="str">
        <x:v>薪资</x:v>
      </x:c>
      <x:c r="H3" s="30" t="str">
        <x:v>办公方式</x:v>
      </x:c>
      <x:c r="I3" s="30" t="str">
        <x:v>要求摘要</x:v>
      </x:c>
      <x:c r="J3" s="30" t="str">
        <x:v>主要差距</x:v>
      </x:c>
      <x:c r="K3" s="30" t="str">
        <x:v>投递方式</x:v>
      </x:c>
      <x:c r="L3" s="30" t="str">
        <x:v>投递入口</x:v>
      </x:c>
      <x:c r="M3" s="30" t="str">
        <x:v>来源等级</x:v>
      </x:c>
    </x:row>
    <x:row r="4" ht="62" customHeight="1">
      <x:c r="A4" s="9" t="str">
        <x:f>'岗位清单'!A6</x:f>
        <x:v>N002</x:v>
      </x:c>
      <x:c r="B4" s="9" t="str">
        <x:f>'岗位清单'!B6</x:f>
        <x:v>先投</x:v>
      </x:c>
      <x:c r="C4" s="9" t="n">
        <x:f>'岗位清单'!I6</x:f>
        <x:v>94</x:v>
      </x:c>
      <x:c r="D4" s="9" t="str">
        <x:f>'岗位清单'!H6</x:f>
        <x:v>成都</x:v>
      </x:c>
      <x:c r="E4" s="9" t="str">
        <x:f>'岗位清单'!E6</x:f>
        <x:v>TD SYNNEX</x:v>
      </x:c>
      <x:c r="F4" s="9" t="str">
        <x:f>'岗位清单'!G6</x:f>
        <x:v>Software Engineer / AI应用开发工程师</x:v>
      </x:c>
      <x:c r="G4" s="9" t="str">
        <x:f>'岗位清单'!L6</x:f>
        <x:v>未披露</x:v>
      </x:c>
      <x:c r="H4" s="9" t="str">
        <x:f>'岗位清单'!M6</x:f>
        <x:v>未披露</x:v>
      </x:c>
      <x:c r="I4" s="9" t="str">
        <x:f>'岗位清单'!O6</x:f>
        <x:v>985本科及以上、3年以上；LangChain/LlamaIndex、RAG、Agent、向量检索、Python、Docker/K8s、LLMOps、ERP/CRM/OA集成。</x:v>
      </x:c>
      <x:c r="J4" s="9" t="str">
        <x:f>'岗位清单'!Q6</x:f>
        <x:v>JD含LoRA/SFT和指导初级成员；准备技术带教与模型微调最小案例。</x:v>
      </x:c>
      <x:c r="K4" s="9" t="str">
        <x:f>'岗位清单'!R6</x:f>
        <x:v>Workday官网</x:v>
      </x:c>
      <x:c r="L4" s="9" t="str">
        <x:f>'岗位清单'!S6</x:f>
        <x:v>https://synnex.wd5.myworkdayjobs.com/en-US/tdsynnexcareers/job/Software-Engineer_R48648</x:v>
      </x:c>
      <x:c r="M4" s="9" t="str">
        <x:f>'岗位清单'!V6</x:f>
        <x:v>A</x:v>
      </x:c>
    </x:row>
    <x:row r="5" ht="62" customHeight="1">
      <x:c r="A5" s="9" t="str">
        <x:f>'岗位清单'!A7</x:f>
        <x:v>N001</x:v>
      </x:c>
      <x:c r="B5" s="9" t="str">
        <x:f>'岗位清单'!B7</x:f>
        <x:v>先投</x:v>
      </x:c>
      <x:c r="C5" s="9" t="n">
        <x:f>'岗位清单'!I7</x:f>
        <x:v>94</x:v>
      </x:c>
      <x:c r="D5" s="9" t="str">
        <x:f>'岗位清单'!H7</x:f>
        <x:v>广州</x:v>
      </x:c>
      <x:c r="E5" s="9" t="str">
        <x:f>'岗位清单'!E7</x:f>
        <x:v>荔枝集团 LIZHI</x:v>
      </x:c>
      <x:c r="F5" s="9" t="str">
        <x:f>'岗位清单'!G7</x:f>
        <x:v>大模型应用工程师</x:v>
      </x:c>
      <x:c r="G5" s="9" t="str">
        <x:f>'岗位清单'!L7</x:f>
        <x:v>未披露</x:v>
      </x:c>
      <x:c r="H5" s="9" t="str">
        <x:f>'岗位清单'!M7</x:f>
        <x:v>未披露</x:v>
      </x:c>
      <x:c r="I5" s="9" t="str">
        <x:f>'岗位清单'!O7</x:f>
        <x:v>2年以上全栈、1-2年AI；Python/Java、Agent、RAG、工作流、企业知识库/ChatBot、Docker/K8s、前端框架。</x:v>
      </x:c>
      <x:c r="J5" s="9" t="str">
        <x:f>'岗位清单'!Q7</x:f>
        <x:v>JD提到模型部署/微调/低代码平台；需准备Python生产代码与微调边界。</x:v>
      </x:c>
      <x:c r="K5" s="9" t="str">
        <x:f>'岗位清单'!R7</x:f>
        <x:v>飞书招聘官网；亦可邮件</x:v>
      </x:c>
      <x:c r="L5" s="9" t="str">
        <x:f>'岗位清单'!S7</x:f>
        <x:v>https://lizhi2021.jobs.feishu.cn/index/resume/7576911295640095018/apply</x:v>
      </x:c>
      <x:c r="M5" s="9" t="str">
        <x:f>'岗位清单'!V7</x:f>
        <x:v>A</x:v>
      </x:c>
    </x:row>
    <x:row r="6" ht="62" customHeight="1">
      <x:c r="A6" s="9" t="str">
        <x:f>'岗位清单'!A8</x:f>
        <x:v>N005</x:v>
      </x:c>
      <x:c r="B6" s="9" t="str">
        <x:f>'岗位清单'!B8</x:f>
        <x:v>先投</x:v>
      </x:c>
      <x:c r="C6" s="9" t="n">
        <x:f>'岗位清单'!I8</x:f>
        <x:v>92</x:v>
      </x:c>
      <x:c r="D6" s="9" t="str">
        <x:f>'岗位清单'!H8</x:f>
        <x:v>合肥</x:v>
      </x:c>
      <x:c r="E6" s="9" t="str">
        <x:f>'岗位清单'!E8</x:f>
        <x:v>合肥中科类脑</x:v>
      </x:c>
      <x:c r="F6" s="9" t="str">
        <x:f>'岗位清单'!G8</x:f>
        <x:v>算法工程师（Agent）</x:v>
      </x:c>
      <x:c r="G6" s="9" t="str">
        <x:f>'岗位清单'!L8</x:f>
        <x:v>面议</x:v>
      </x:c>
      <x:c r="H6" s="9" t="str">
        <x:f>'岗位清单'!M8</x:f>
        <x:v>未披露</x:v>
      </x:c>
      <x:c r="I6" s="9" t="str">
        <x:f>'岗位清单'!O8</x:f>
        <x:v>LLM、RAG、Agent框架；开发Skills/Tools；能深入框架底层定位缺陷并二次开发。</x:v>
      </x:c>
      <x:c r="J6" s="9" t="str">
        <x:f>'岗位清单'!Q8</x:f>
        <x:v>岗位称算法工程师但JD偏工程；需核验是否要求论文/训练经验及能源出差。</x:v>
      </x:c>
      <x:c r="K6" s="9" t="str">
        <x:f>'岗位清单'!R8</x:f>
        <x:v>邮件直投</x:v>
      </x:c>
      <x:c r="L6" s="9" t="str">
        <x:f>'岗位清单'!S8</x:f>
        <x:v>mailto:hr@leinao.ai</x:v>
      </x:c>
      <x:c r="M6" s="9" t="str">
        <x:f>'岗位清单'!V8</x:f>
        <x:v>A</x:v>
      </x:c>
    </x:row>
    <x:row r="7" ht="62" customHeight="1">
      <x:c r="A7" s="9" t="str">
        <x:f>'岗位清单'!A9</x:f>
        <x:v>N004</x:v>
      </x:c>
      <x:c r="B7" s="9" t="str">
        <x:f>'岗位清单'!B9</x:f>
        <x:v>先投</x:v>
      </x:c>
      <x:c r="C7" s="9" t="n">
        <x:f>'岗位清单'!I9</x:f>
        <x:v>92</x:v>
      </x:c>
      <x:c r="D7" s="9" t="str">
        <x:f>'岗位清单'!H9</x:f>
        <x:v>南京</x:v>
      </x:c>
      <x:c r="E7" s="9" t="str">
        <x:f>'岗位清单'!E9</x:f>
        <x:v>南京运梦科技</x:v>
      </x:c>
      <x:c r="F7" s="9" t="str">
        <x:f>'岗位清单'!G9</x:f>
        <x:v>Agent全栈开发工程师</x:v>
      </x:c>
      <x:c r="G7" s="9" t="str">
        <x:f>'岗位清单'!L9</x:f>
        <x:v>未披露</x:v>
      </x:c>
      <x:c r="H7" s="9" t="str">
        <x:f>'岗位清单'!M9</x:f>
        <x:v>未披露</x:v>
      </x:c>
      <x:c r="I7" s="9" t="str">
        <x:f>'岗位清单'!O9</x:f>
        <x:v>LangChain/AutoGen/Dify、Tool Use、RAG、企业知识库、微服务与SaaS业务系统集成。</x:v>
      </x:c>
      <x:c r="J7" s="9" t="str">
        <x:f>'岗位清单'!Q9</x:f>
        <x:v>公司规模与HC稳定性需核验；准备Dify/LangGraph框架取舍。</x:v>
      </x:c>
      <x:c r="K7" s="9" t="str">
        <x:f>'岗位清单'!R9</x:f>
        <x:v>邮件直投</x:v>
      </x:c>
      <x:c r="L7" s="9" t="str">
        <x:f>'岗位清单'!S9</x:f>
        <x:v>mailto:yunmeng_tech@163.com</x:v>
      </x:c>
      <x:c r="M7" s="9" t="str">
        <x:f>'岗位清单'!V9</x:f>
        <x:v>A</x:v>
      </x:c>
    </x:row>
    <x:row r="8" ht="62" customHeight="1">
      <x:c r="A8" s="9" t="str">
        <x:f>'岗位清单'!A14</x:f>
        <x:v>N010</x:v>
      </x:c>
      <x:c r="B8" s="9" t="str">
        <x:f>'岗位清单'!B14</x:f>
        <x:v>先投</x:v>
      </x:c>
      <x:c r="C8" s="9" t="n">
        <x:f>'岗位清单'!I14</x:f>
        <x:v>90</x:v>
      </x:c>
      <x:c r="D8" s="9" t="str">
        <x:f>'岗位清单'!H14</x:f>
        <x:v>武汉</x:v>
      </x:c>
      <x:c r="E8" s="9" t="str">
        <x:f>'岗位清单'!E14</x:f>
        <x:v>光庭信息</x:v>
      </x:c>
      <x:c r="F8" s="9" t="str">
        <x:f>'岗位清单'!G14</x:f>
        <x:v>后端开发工程师（AI应用方向）</x:v>
      </x:c>
      <x:c r="G8" s="9" t="str">
        <x:f>'岗位清单'!L14</x:f>
        <x:v>未披露</x:v>
      </x:c>
      <x:c r="H8" s="9" t="str">
        <x:f>'岗位清单'!M14</x:f>
        <x:v>未披露</x:v>
      </x:c>
      <x:c r="I8" s="9" t="str">
        <x:f>'岗位清单'!O14</x:f>
        <x:v>AI Agent核心研发；需求-设计-实现-测试可追溯；智能代理设计、实现与编排，支撑智能开发。</x:v>
      </x:c>
      <x:c r="J8" s="9" t="str">
        <x:f>'岗位清单'!Q14</x:f>
        <x:v>公开JD信息颗粒度有限；核验主语言、薪资、汽车软件领域要求。</x:v>
      </x:c>
      <x:c r="K8" s="9" t="str">
        <x:f>'岗位清单'!R14</x:f>
        <x:v>智联招聘</x:v>
      </x:c>
      <x:c r="L8" s="9" t="str">
        <x:f>'岗位清单'!S14</x:f>
        <x:v>https://www.zhaopin.com/jobdetail/CC534400620J40786032916.htm</x:v>
      </x:c>
      <x:c r="M8" s="9" t="str">
        <x:f>'岗位清单'!V14</x:f>
        <x:v>B</x:v>
      </x:c>
    </x:row>
    <x:row r="9" ht="62" customHeight="1">
      <x:c r="A9" s="9" t="str">
        <x:f>'岗位清单'!A16</x:f>
        <x:v>N006</x:v>
      </x:c>
      <x:c r="B9" s="9" t="str">
        <x:f>'岗位清单'!B16</x:f>
        <x:v>先投</x:v>
      </x:c>
      <x:c r="C9" s="9" t="n">
        <x:f>'岗位清单'!I16</x:f>
        <x:v>89</x:v>
      </x:c>
      <x:c r="D9" s="9" t="str">
        <x:f>'岗位清单'!H16</x:f>
        <x:v>重庆</x:v>
      </x:c>
      <x:c r="E9" s="9" t="str">
        <x:f>'岗位清单'!E16</x:f>
        <x:v>重庆青竹数智科技</x:v>
      </x:c>
      <x:c r="F9" s="9" t="str">
        <x:f>'岗位清单'!G16</x:f>
        <x:v>AI大模型应用工程师</x:v>
      </x:c>
      <x:c r="G9" s="9" t="str">
        <x:f>'岗位清单'!L16</x:f>
        <x:v>未披露</x:v>
      </x:c>
      <x:c r="H9" s="9" t="str">
        <x:f>'岗位清单'!M16</x:f>
        <x:v>未披露</x:v>
      </x:c>
      <x:c r="I9" s="9" t="str">
        <x:f>'岗位清单'!O16</x:f>
        <x:v>1-3年、本科；LLM应用、RAG/智能检索、Prompt、接口联调、测试上线与维护。</x:v>
      </x:c>
      <x:c r="J9" s="9" t="str">
        <x:f>'岗位清单'!Q16</x:f>
        <x:v>可能偏项目交付；核验薪资、团队规模和长期Agent路线。</x:v>
      </x:c>
      <x:c r="K9" s="9" t="str">
        <x:f>'岗位清单'!R16</x:f>
        <x:v>智联招聘</x:v>
      </x:c>
      <x:c r="L9" s="9" t="str">
        <x:f>'岗位清单'!S16</x:f>
        <x:v>https://www.zhaopin.com/jobdetail/CCL1282329150J40837063709.htm</x:v>
      </x:c>
      <x:c r="M9" s="9" t="str">
        <x:f>'岗位清单'!V16</x:f>
        <x:v>B</x:v>
      </x:c>
    </x:row>
    <x:row r="10" ht="62" customHeight="1">
      <x:c r="A10" s="9" t="str">
        <x:f>'岗位清单'!A17</x:f>
        <x:v>ZL-A002</x:v>
      </x:c>
      <x:c r="B10" s="9" t="str">
        <x:f>'岗位清单'!B17</x:f>
        <x:v>先投</x:v>
      </x:c>
      <x:c r="C10" s="9" t="n">
        <x:f>'岗位清单'!I17</x:f>
        <x:v>87</x:v>
      </x:c>
      <x:c r="D10" s="9" t="str">
        <x:f>'岗位清单'!H17</x:f>
        <x:v>北京</x:v>
      </x:c>
      <x:c r="E10" s="9" t="str">
        <x:f>'岗位清单'!E17</x:f>
        <x:v>北京亿智云科技有限公司</x:v>
      </x:c>
      <x:c r="F10" s="9" t="str">
        <x:f>'岗位清单'!G17</x:f>
        <x:v>AI Agent开发工程师（政务智能体方向）</x:v>
      </x:c>
      <x:c r="G10" s="9" t="str">
        <x:f>'岗位清单'!L17</x:f>
        <x:v>未披露</x:v>
      </x:c>
      <x:c r="H10" s="9" t="str">
        <x:f>'岗位清单'!M17</x:f>
        <x:v>未披露</x:v>
      </x:c>
      <x:c r="I10" s="9" t="str">
        <x:f>'岗位清单'!O17</x:f>
        <x:v>执行包未保留完整JD；投前/面试前需重新核验。按方向重点准备政务知识库、权限审计、引用溯源与企业系统集成。</x:v>
      </x:c>
      <x:c r="J10" s="9" t="str">
        <x:f>'岗位清单'!Q17</x:f>
        <x:v>政务项目交付、信创与数据合规要求需核验。</x:v>
      </x:c>
      <x:c r="K10" s="9" t="str">
        <x:f>'岗位清单'!R17</x:f>
        <x:v>智联招聘</x:v>
      </x:c>
      <x:c r="L10" s="9" t="str">
        <x:f>'岗位清单'!S17</x:f>
        <x:v>https://www.zhaopin.com/jobdetail/CC844803710J40914651403.htm</x:v>
      </x:c>
      <x:c r="M10" s="9" t="str">
        <x:f>'岗位清单'!V17</x:f>
        <x:v>B</x:v>
      </x:c>
    </x:row>
    <x:row r="11" ht="62" customHeight="1">
      <x:c r="A11" s="9" t="str">
        <x:f>'岗位清单'!A18</x:f>
        <x:v>ZL-A006</x:v>
      </x:c>
      <x:c r="B11" s="9" t="str">
        <x:f>'岗位清单'!B18</x:f>
        <x:v>先投</x:v>
      </x:c>
      <x:c r="C11" s="9" t="n">
        <x:f>'岗位清单'!I18</x:f>
        <x:v>87</x:v>
      </x:c>
      <x:c r="D11" s="9" t="str">
        <x:f>'岗位清单'!H18</x:f>
        <x:v>北京</x:v>
      </x:c>
      <x:c r="E11" s="9" t="str">
        <x:f>'岗位清单'!E18</x:f>
        <x:v>北京赛迪时代信息产业股份有限公司</x:v>
      </x:c>
      <x:c r="F11" s="9" t="str">
        <x:f>'岗位清单'!G18</x:f>
        <x:v>大模型应用开发工程师</x:v>
      </x:c>
      <x:c r="G11" s="9" t="str">
        <x:f>'岗位清单'!L18</x:f>
        <x:v>未披露</x:v>
      </x:c>
      <x:c r="H11" s="9" t="str">
        <x:f>'岗位清单'!M18</x:f>
        <x:v>未披露</x:v>
      </x:c>
      <x:c r="I11" s="9" t="str">
        <x:f>'岗位清单'!O18</x:f>
        <x:v>执行包未保留完整JD；重点准备大模型应用架构、RAG、Agent、企业知识库、部署运维和安全治理。</x:v>
      </x:c>
      <x:c r="J11" s="9" t="str">
        <x:f>'岗位清单'!Q18</x:f>
        <x:v>需核验是否偏政企交付、驻场，以及主语言和模型部署要求。</x:v>
      </x:c>
      <x:c r="K11" s="9" t="str">
        <x:f>'岗位清单'!R18</x:f>
        <x:v>智联招聘</x:v>
      </x:c>
      <x:c r="L11" s="9" t="str">
        <x:f>'岗位清单'!S18</x:f>
        <x:v>https://www.zhaopin.com/jobdetail/CC000441110J40857983309.htm</x:v>
      </x:c>
      <x:c r="M11" s="9" t="str">
        <x:f>'岗位清单'!V18</x:f>
        <x:v>B</x:v>
      </x:c>
    </x:row>
    <x:row r="12" ht="62" customHeight="1">
      <x:c r="A12" s="9" t="str">
        <x:f>'岗位清单'!A19</x:f>
        <x:v>ZL-A001</x:v>
      </x:c>
      <x:c r="B12" s="9" t="str">
        <x:f>'岗位清单'!B19</x:f>
        <x:v>先投</x:v>
      </x:c>
      <x:c r="C12" s="9" t="n">
        <x:f>'岗位清单'!I19</x:f>
        <x:v>87</x:v>
      </x:c>
      <x:c r="D12" s="9" t="str">
        <x:f>'岗位清单'!H19</x:f>
        <x:v>深圳</x:v>
      </x:c>
      <x:c r="E12" s="9" t="str">
        <x:f>'岗位清单'!E19</x:f>
        <x:v>深圳市瓴知智能科技有限公司</x:v>
      </x:c>
      <x:c r="F12" s="9" t="str">
        <x:f>'岗位清单'!G19</x:f>
        <x:v>AI Agent应用开发工程师</x:v>
      </x:c>
      <x:c r="G12" s="9" t="str">
        <x:f>'岗位清单'!L19</x:f>
        <x:v>未披露</x:v>
      </x:c>
      <x:c r="H12" s="9" t="str">
        <x:f>'岗位清单'!M19</x:f>
        <x:v>未披露</x:v>
      </x:c>
      <x:c r="I12" s="9" t="str">
        <x:f>'岗位清单'!O19</x:f>
        <x:v>执行包未保留完整JD；投前/面试前需重新核验。按岗位名重点准备Agent编排、工具调用、RAG与Python服务化。</x:v>
      </x:c>
      <x:c r="J12" s="9" t="str">
        <x:f>'岗位清单'!Q19</x:f>
        <x:v>完整JD、薪资、办公与工时均需二次核验。</x:v>
      </x:c>
      <x:c r="K12" s="9" t="str">
        <x:f>'岗位清单'!R19</x:f>
        <x:v>智联招聘</x:v>
      </x:c>
      <x:c r="L12" s="9" t="str">
        <x:f>'岗位清单'!S19</x:f>
        <x:v>https://www.zhaopin.com/jobdetail/CCL1522707210J40919026103.htm</x:v>
      </x:c>
      <x:c r="M12" s="9" t="str">
        <x:f>'岗位清单'!V19</x:f>
        <x:v>B</x:v>
      </x:c>
    </x:row>
    <x:row r="13" ht="62" customHeight="1">
      <x:c r="A13" s="9" t="str">
        <x:f>'岗位清单'!A20</x:f>
        <x:v>N003</x:v>
      </x:c>
      <x:c r="B13" s="9" t="str">
        <x:f>'岗位清单'!B20</x:f>
        <x:v>先投</x:v>
      </x:c>
      <x:c r="C13" s="9" t="n">
        <x:f>'岗位清单'!I20</x:f>
        <x:v>87</x:v>
      </x:c>
      <x:c r="D13" s="9" t="str">
        <x:f>'岗位清单'!H20</x:f>
        <x:v>武汉</x:v>
      </x:c>
      <x:c r="E13" s="9" t="str">
        <x:f>'岗位清单'!E20</x:f>
        <x:v>LingoAce（领格教育）</x:v>
      </x:c>
      <x:c r="F13" s="9" t="str">
        <x:f>'岗位清单'!G20</x:f>
        <x:v>Agent/AI研发工程师（R20261869）</x:v>
      </x:c>
      <x:c r="G13" s="9" t="str">
        <x:f>'岗位清单'!L20</x:f>
        <x:v>未披露</x:v>
      </x:c>
      <x:c r="H13" s="9" t="str">
        <x:f>'岗位清单'!M20</x:f>
        <x:v>未披露</x:v>
      </x:c>
      <x:c r="I13" s="9" t="str">
        <x:f>'岗位清单'!O20</x:f>
        <x:v>5年以上后端、1年以上AI；精通Java；企业Agent框架、MCP/Skills、RAG、性能/成本/稳定性。</x:v>
      </x:c>
      <x:c r="J13" s="9" t="str">
        <x:f>'岗位清单'!Q20</x:f>
        <x:v>你是4年而JD写5年；Java不是主力语言，需强调C#/分布式工程迁移。</x:v>
      </x:c>
      <x:c r="K13" s="9" t="str">
        <x:f>'岗位清单'!R20</x:f>
        <x:v>Workday官网</x:v>
      </x:c>
      <x:c r="L13" s="9" t="str">
        <x:f>'岗位清单'!S20</x:f>
        <x:v>https://pplingo.wd3.myworkdayjobs.com/en-US/External/job/Agent-AI_R20261869</x:v>
      </x:c>
      <x:c r="M13" s="9" t="str">
        <x:f>'岗位清单'!V20</x:f>
        <x:v>A</x:v>
      </x:c>
    </x:row>
    <x:row r="14" ht="62" customHeight="1">
      <x:c r="A14" s="9" t="str">
        <x:f>'岗位清单'!A21</x:f>
        <x:v>ZL-A005</x:v>
      </x:c>
      <x:c r="B14" s="9" t="str">
        <x:f>'岗位清单'!B21</x:f>
        <x:v>先投</x:v>
      </x:c>
      <x:c r="C14" s="9" t="n">
        <x:f>'岗位清单'!I21</x:f>
        <x:v>86</x:v>
      </x:c>
      <x:c r="D14" s="9" t="str">
        <x:f>'岗位清单'!H21</x:f>
        <x:v>合肥</x:v>
      </x:c>
      <x:c r="E14" s="9" t="str">
        <x:f>'岗位清单'!E21</x:f>
        <x:v>合肥中贸科技有限公司</x:v>
      </x:c>
      <x:c r="F14" s="9" t="str">
        <x:f>'岗位清单'!G21</x:f>
        <x:v>AI Agent应用开发（Dify）</x:v>
      </x:c>
      <x:c r="G14" s="9" t="str">
        <x:f>'岗位清单'!L21</x:f>
        <x:v>未披露</x:v>
      </x:c>
      <x:c r="H14" s="9" t="str">
        <x:f>'岗位清单'!M21</x:f>
        <x:v>未披露</x:v>
      </x:c>
      <x:c r="I14" s="9" t="str">
        <x:f>'岗位清单'!O21</x:f>
        <x:v>执行包未保留完整JD；按岗位名重点准备Dify工作流、知识库、工具插件、模型路由与私有化部署。</x:v>
      </x:c>
      <x:c r="J14" s="9" t="str">
        <x:f>'岗位清单'!Q21</x:f>
        <x:v>需要补Dify节点编排、插件开发及平台边界的具体案例。</x:v>
      </x:c>
      <x:c r="K14" s="9" t="str">
        <x:f>'岗位清单'!R21</x:f>
        <x:v>智联招聘</x:v>
      </x:c>
      <x:c r="L14" s="9" t="str">
        <x:f>'岗位清单'!S21</x:f>
        <x:v>https://www.zhaopin.com/jobdetail/CCL1496573550J40902058113.htm</x:v>
      </x:c>
      <x:c r="M14" s="9" t="str">
        <x:f>'岗位清单'!V21</x:f>
        <x:v>B</x:v>
      </x:c>
    </x:row>
    <x:row r="15" ht="62" customHeight="1">
      <x:c r="A15" s="9" t="str">
        <x:f>'岗位清单'!A22</x:f>
        <x:v>ZL-A003</x:v>
      </x:c>
      <x:c r="B15" s="9" t="str">
        <x:f>'岗位清单'!B22</x:f>
        <x:v>先投</x:v>
      </x:c>
      <x:c r="C15" s="9" t="n">
        <x:f>'岗位清单'!I22</x:f>
        <x:v>78</x:v>
      </x:c>
      <x:c r="D15" s="9" t="str">
        <x:f>'岗位清单'!H22</x:f>
        <x:v>北京</x:v>
      </x:c>
      <x:c r="E15" s="9" t="str">
        <x:f>'岗位清单'!E22</x:f>
        <x:v>青矩技术股份有限公司</x:v>
      </x:c>
      <x:c r="F15" s="9" t="str">
        <x:f>'岗位清单'!G22</x:f>
        <x:v>AI工程师</x:v>
      </x:c>
      <x:c r="G15" s="9" t="str">
        <x:f>'岗位清单'!L22</x:f>
        <x:v>未披露</x:v>
      </x:c>
      <x:c r="H15" s="9" t="str">
        <x:f>'岗位清单'!M22</x:f>
        <x:v>未披露</x:v>
      </x:c>
      <x:c r="I15" s="9" t="str">
        <x:f>'岗位清单'!O22</x:f>
        <x:v>执行包只记录岗位名称，技术栈与职责未留存；面试前必须回看JD。</x:v>
      </x:c>
      <x:c r="J15" s="9" t="str">
        <x:f>'岗位清单'!Q22</x:f>
        <x:v>岗位范围过宽，需先确认偏算法、平台还是应用交付。</x:v>
      </x:c>
      <x:c r="K15" s="9" t="str">
        <x:f>'岗位清单'!R22</x:f>
        <x:v>智联招聘</x:v>
      </x:c>
      <x:c r="L15" s="9" t="str">
        <x:f>'岗位清单'!S22</x:f>
        <x:v>https://www.zhaopin.com/jobdetail/CC298846330J40851392614.htm</x:v>
      </x:c>
      <x:c r="M15" s="9" t="str">
        <x:f>'岗位清单'!V22</x:f>
        <x:v>C</x:v>
      </x:c>
    </x:row>
    <x:row r="16" ht="62" customHeight="1">
      <x:c r="A16" s="9" t="str">
        <x:f>'岗位清单'!A23</x:f>
        <x:v>ZL-A004</x:v>
      </x:c>
      <x:c r="B16" s="9" t="str">
        <x:f>'岗位清单'!B23</x:f>
        <x:v>先投</x:v>
      </x:c>
      <x:c r="C16" s="9" t="n">
        <x:f>'岗位清单'!I23</x:f>
        <x:v>78</x:v>
      </x:c>
      <x:c r="D16" s="9" t="str">
        <x:f>'岗位清单'!H23</x:f>
        <x:v>成都</x:v>
      </x:c>
      <x:c r="E16" s="9" t="str">
        <x:f>'岗位清单'!E23</x:f>
        <x:v>郑州联创优聘信息科技有限公司</x:v>
      </x:c>
      <x:c r="F16" s="9" t="str">
        <x:f>'岗位清单'!G23</x:f>
        <x:v>AI应用开发工程师 AI Agent</x:v>
      </x:c>
      <x:c r="G16" s="9" t="str">
        <x:f>'岗位清单'!L23</x:f>
        <x:v>未披露</x:v>
      </x:c>
      <x:c r="H16" s="9" t="str">
        <x:f>'岗位清单'!M23</x:f>
        <x:v>未披露</x:v>
      </x:c>
      <x:c r="I16" s="9" t="str">
        <x:f>'岗位清单'!O23</x:f>
        <x:v>执行包未保留完整JD；重点核验用工主体、客户、驻场，以及Agent/RAG/Python具体要求。</x:v>
      </x:c>
      <x:c r="J16" s="9" t="str">
        <x:f>'岗位清单'!Q23</x:f>
        <x:v>疑似招聘服务/代招，需确认真实雇主和项目稳定性。</x:v>
      </x:c>
      <x:c r="K16" s="9" t="str">
        <x:f>'岗位清单'!R23</x:f>
        <x:v>智联招聘</x:v>
      </x:c>
      <x:c r="L16" s="9" t="str">
        <x:f>'岗位清单'!S23</x:f>
        <x:v>https://www.zhaopin.com/jobdetail/CCL1314982440J40798234406.htm</x:v>
      </x:c>
      <x:c r="M16" s="9" t="str">
        <x:f>'岗位清单'!V23</x:f>
        <x:v>C</x:v>
      </x:c>
    </x:row>
    <x:row r="17" ht="62" customHeight="1">
      <x:c r="A17" s="9" t="str">
        <x:f>'岗位清单'!A28</x:f>
        <x:v>N012</x:v>
      </x:c>
      <x:c r="B17" s="9" t="str">
        <x:f>'岗位清单'!B28</x:f>
        <x:v>次投</x:v>
      </x:c>
      <x:c r="C17" s="9" t="n">
        <x:f>'岗位清单'!I28</x:f>
        <x:v>85</x:v>
      </x:c>
      <x:c r="D17" s="9" t="str">
        <x:f>'岗位清单'!H28</x:f>
        <x:v>西安</x:v>
      </x:c>
      <x:c r="E17" s="9" t="str">
        <x:f>'岗位清单'!E28</x:f>
        <x:v>西安讯蜂科技</x:v>
      </x:c>
      <x:c r="F17" s="9" t="str">
        <x:f>'岗位清单'!G28</x:f>
        <x:v>AI研发工程师</x:v>
      </x:c>
      <x:c r="G17" s="9" t="str">
        <x:f>'岗位清单'!L28</x:f>
        <x:v>未披露</x:v>
      </x:c>
      <x:c r="H17" s="9" t="str">
        <x:f>'岗位清单'!M28</x:f>
        <x:v>未披露</x:v>
      </x:c>
      <x:c r="I17" s="9" t="str">
        <x:f>'岗位清单'!O28</x:f>
        <x:v>Agent框架、高并发RAG、多模态与企业场景落地。</x:v>
      </x:c>
      <x:c r="J17" s="9" t="str">
        <x:f>'岗位清单'!Q28</x:f>
        <x:v>页面发布时间不明；先邮件确认2026社招HC与薪资。</x:v>
      </x:c>
      <x:c r="K17" s="9" t="str">
        <x:f>'岗位清单'!R28</x:f>
        <x:v>邮件直投</x:v>
      </x:c>
      <x:c r="L17" s="9" t="str">
        <x:f>'岗位清单'!S28</x:f>
        <x:v>mailto:xf@xfsec.com.cn</x:v>
      </x:c>
      <x:c r="M17" s="9" t="str">
        <x:f>'岗位清单'!V28</x:f>
        <x:v>B</x:v>
      </x:c>
    </x:row>
    <x:row r="18" ht="62" customHeight="1">
      <x:c r="A18" s="9" t="str">
        <x:f>'岗位清单'!A30</x:f>
        <x:v>N007</x:v>
      </x:c>
      <x:c r="B18" s="9" t="str">
        <x:f>'岗位清单'!B30</x:f>
        <x:v>次投</x:v>
      </x:c>
      <x:c r="C18" s="9" t="n">
        <x:f>'岗位清单'!I30</x:f>
        <x:v>83</x:v>
      </x:c>
      <x:c r="D18" s="9" t="str">
        <x:f>'岗位清单'!H30</x:f>
        <x:v>佛山</x:v>
      </x:c>
      <x:c r="E18" s="9" t="str">
        <x:f>'岗位清单'!E30</x:f>
        <x:v>先进数通</x:v>
      </x:c>
      <x:c r="F18" s="9" t="str">
        <x:f>'岗位清单'!G30</x:f>
        <x:v>大模型应用开发工程师（Agent方向，J13760）</x:v>
      </x:c>
      <x:c r="G18" s="9" t="str">
        <x:f>'岗位清单'!L30</x:f>
        <x:v>15–25K/月</x:v>
      </x:c>
      <x:c r="H18" s="9" t="str">
        <x:f>'岗位清单'!M30</x:f>
        <x:v>未披露</x:v>
      </x:c>
      <x:c r="I18" s="9" t="str">
        <x:f>'岗位清单'!O30</x:f>
        <x:v>5-10年、本科；LLM应用、Agent规划/执行、RAG知识库、检索/知识抽取、多模态/知识图谱。</x:v>
      </x:c>
      <x:c r="J18" s="9" t="str">
        <x:f>'岗位清单'!Q30</x:f>
        <x:v>年限明显偏高；可当系统设计练面，先问是否接受4年高潜。</x:v>
      </x:c>
      <x:c r="K18" s="9" t="str">
        <x:f>'岗位清单'!R30</x:f>
        <x:v>智联招聘</x:v>
      </x:c>
      <x:c r="L18" s="9" t="str">
        <x:f>'岗位清单'!S30</x:f>
        <x:v>https://www.zhaopin.com/jobdetail/CC000432190J40685483616.htm</x:v>
      </x:c>
      <x:c r="M18" s="9" t="str">
        <x:f>'岗位清单'!V30</x:f>
        <x:v>B</x:v>
      </x:c>
    </x:row>
    <x:row r="19" ht="62" customHeight="1">
      <x:c r="A19" s="9" t="str">
        <x:f>'岗位清单'!A31</x:f>
        <x:v>N013</x:v>
      </x:c>
      <x:c r="B19" s="9" t="str">
        <x:f>'岗位清单'!B31</x:f>
        <x:v>次投</x:v>
      </x:c>
      <x:c r="C19" s="9" t="n">
        <x:f>'岗位清单'!I31</x:f>
        <x:v>82</x:v>
      </x:c>
      <x:c r="D19" s="9" t="str">
        <x:f>'岗位清单'!H31</x:f>
        <x:v>武汉</x:v>
      </x:c>
      <x:c r="E19" s="9" t="str">
        <x:f>'岗位清单'!E31</x:f>
        <x:v>某游戏公司（猎头未披露）</x:v>
      </x:c>
      <x:c r="F19" s="9" t="str">
        <x:f>'岗位清单'!G31</x:f>
        <x:v>AI研发工程师（LLM方向）</x:v>
      </x:c>
      <x:c r="G19" s="9" t="str">
        <x:f>'岗位清单'!L31</x:f>
        <x:v>18–30万/年</x:v>
      </x:c>
      <x:c r="H19" s="9" t="str">
        <x:f>'岗位清单'!M31</x:f>
        <x:v>未披露</x:v>
      </x:c>
      <x:c r="I19" s="9" t="str">
        <x:f>'岗位清单'!O31</x:f>
        <x:v>3-5年；Python/Linux、LLM Agent任务规划/工具调用/多轮对话、RAG、系统架构和性能优化。</x:v>
      </x:c>
      <x:c r="J19" s="9" t="str">
        <x:f>'岗位清单'!Q31</x:f>
        <x:v>客户未披露且要求985/211、英语四级；先问用工主体和公司名称。</x:v>
      </x:c>
      <x:c r="K19" s="9" t="str">
        <x:f>'岗位清单'!R31</x:f>
        <x:v>猎头平台</x:v>
      </x:c>
      <x:c r="L19" s="9" t="str">
        <x:f>'岗位清单'!S31</x:f>
        <x:v>https://hewa.cn/positionDetails/kPcbLokZJ9ujnX0DG_hw1_FQig_hw2_.html</x:v>
      </x:c>
      <x:c r="M19" s="9" t="str">
        <x:f>'岗位清单'!V31</x:f>
        <x:v>C</x:v>
      </x:c>
    </x:row>
    <x:row r="20" ht="62" customHeight="1">
      <x:c r="A20" s="9" t="str">
        <x:f>'岗位清单'!A32</x:f>
        <x:v>N011</x:v>
      </x:c>
      <x:c r="B20" s="9" t="str">
        <x:f>'岗位清单'!B32</x:f>
        <x:v>次投</x:v>
      </x:c>
      <x:c r="C20" s="9" t="n">
        <x:f>'岗位清单'!I32</x:f>
        <x:v>81</x:v>
      </x:c>
      <x:c r="D20" s="9" t="str">
        <x:f>'岗位清单'!H32</x:f>
        <x:v>南京</x:v>
      </x:c>
      <x:c r="E20" s="9" t="str">
        <x:f>'岗位清单'!E32</x:f>
        <x:v>南京嘉环科技</x:v>
      </x:c>
      <x:c r="F20" s="9" t="str">
        <x:f>'岗位清单'!G32</x:f>
        <x:v>AI应用工程师</x:v>
      </x:c>
      <x:c r="G20" s="9" t="str">
        <x:f>'岗位清单'!L32</x:f>
        <x:v>15–30K/月</x:v>
      </x:c>
      <x:c r="H20" s="9" t="str">
        <x:f>'岗位清单'!M32</x:f>
        <x:v>未披露</x:v>
      </x:c>
      <x:c r="I20" s="9" t="str">
        <x:f>'岗位清单'!O32</x:f>
        <x:v>1-3年；RAG+Agent、知识图谱、多步推理、工具调用、输出控制、SFT/PEFT/LoRA与评测闭环。</x:v>
      </x:c>
      <x:c r="J20" s="9" t="str">
        <x:f>'岗位清单'!Q32</x:f>
        <x:v>来源为聚合页；需到招聘App核验HC、用工主体和薪资。</x:v>
      </x:c>
      <x:c r="K20" s="9" t="str">
        <x:f>'岗位清单'!R32</x:f>
        <x:v>招聘App/聚合页</x:v>
      </x:c>
      <x:c r="L20" s="9" t="str">
        <x:f>'岗位清单'!S32</x:f>
        <x:v>https://b.460.net.cn/a/603386.html</x:v>
      </x:c>
      <x:c r="M20" s="9" t="str">
        <x:f>'岗位清单'!V32</x:f>
        <x:v>C</x:v>
      </x:c>
    </x:row>
    <x:row r="21" ht="62" customHeight="1">
      <x:c r="A21" s="9" t="str">
        <x:f>'岗位清单'!A33</x:f>
        <x:v>LP-A001</x:v>
      </x:c>
      <x:c r="B21" s="9" t="str">
        <x:f>'岗位清单'!B33</x:f>
        <x:v>次投</x:v>
      </x:c>
      <x:c r="C21" s="9" t="n">
        <x:f>'岗位清单'!I33</x:f>
        <x:v>81</x:v>
      </x:c>
      <x:c r="D21" s="9" t="str">
        <x:f>'岗位清单'!H33</x:f>
        <x:v>宁波</x:v>
      </x:c>
      <x:c r="E21" s="9" t="str">
        <x:f>'岗位清单'!E33</x:f>
        <x:v>宁波银辰投资管理有限公司</x:v>
      </x:c>
      <x:c r="F21" s="9" t="str">
        <x:f>'岗位清单'!G33</x:f>
        <x:v>AI Agent应用工程师（投研方向）</x:v>
      </x:c>
      <x:c r="G21" s="9" t="str">
        <x:f>'岗位清单'!L33</x:f>
        <x:v>未披露</x:v>
      </x:c>
      <x:c r="H21" s="9" t="str">
        <x:f>'岗位清单'!M33</x:f>
        <x:v>未披露</x:v>
      </x:c>
      <x:c r="I21" s="9" t="str">
        <x:f>'岗位清单'!O33</x:f>
        <x:v>执行包未保留完整JD；重点核验金融投研数据源、合规、事实引用、回测与Agent权限边界。</x:v>
      </x:c>
      <x:c r="J21" s="9" t="str">
        <x:f>'岗位清单'!Q33</x:f>
        <x:v>缺直接投研业务经验；需准备金融数据时效与合规边界。</x:v>
      </x:c>
      <x:c r="K21" s="9" t="str">
        <x:f>'岗位清单'!R33</x:f>
        <x:v>猎聘</x:v>
      </x:c>
      <x:c r="L21" s="9" t="str">
        <x:f>'岗位清单'!S33</x:f>
        <x:v>https://www.liepin.com/job/1985073873.shtml</x:v>
      </x:c>
      <x:c r="M21" s="9" t="str">
        <x:f>'岗位清单'!V33</x:f>
        <x:v>C</x:v>
      </x:c>
    </x:row>
    <x:row r="22" ht="62" customHeight="1">
      <x:c r="A22" s="9" t="str">
        <x:f>'岗位清单'!A34</x:f>
        <x:v>LP-A002</x:v>
      </x:c>
      <x:c r="B22" s="9" t="str">
        <x:f>'岗位清单'!B34</x:f>
        <x:v>次投</x:v>
      </x:c>
      <x:c r="C22" s="9" t="n">
        <x:f>'岗位清单'!I34</x:f>
        <x:v>81</x:v>
      </x:c>
      <x:c r="D22" s="9" t="str">
        <x:f>'岗位清单'!H34</x:f>
        <x:v>宁波</x:v>
      </x:c>
      <x:c r="E22" s="9" t="str">
        <x:f>'岗位清单'!E34</x:f>
        <x:v>宁波全拓海伦数智科技有限公司</x:v>
      </x:c>
      <x:c r="F22" s="9" t="str">
        <x:f>'岗位清单'!G34</x:f>
        <x:v>AI Agent工程师</x:v>
      </x:c>
      <x:c r="G22" s="9" t="str">
        <x:f>'岗位清单'!L34</x:f>
        <x:v>未披露</x:v>
      </x:c>
      <x:c r="H22" s="9" t="str">
        <x:f>'岗位清单'!M34</x:f>
        <x:v>未披露</x:v>
      </x:c>
      <x:c r="I22" s="9" t="str">
        <x:f>'岗位清单'!O34</x:f>
        <x:v>执行包未保留完整JD；重点核验Agent框架、RAG、工具调用、部署和项目交付要求。</x:v>
      </x:c>
      <x:c r="J22" s="9" t="str">
        <x:f>'岗位清单'!Q34</x:f>
        <x:v>完整JD、公司业务、薪资和工时均需重新核验。</x:v>
      </x:c>
      <x:c r="K22" s="9" t="str">
        <x:f>'岗位清单'!R34</x:f>
        <x:v>猎聘</x:v>
      </x:c>
      <x:c r="L22" s="9" t="str">
        <x:f>'岗位清单'!S34</x:f>
        <x:v>https://www.liepin.com/job/1979390657.shtml</x:v>
      </x:c>
      <x:c r="M22" s="9" t="str">
        <x:f>'岗位清单'!V34</x:f>
        <x:v>C</x:v>
      </x:c>
    </x:row>
    <x:row r="23" ht="62" customHeight="1">
      <x:c r="A23" s="9" t="str">
        <x:f>'岗位清单'!A36</x:f>
        <x:v>N009</x:v>
      </x:c>
      <x:c r="B23" s="9" t="str">
        <x:f>'岗位清单'!B36</x:f>
        <x:v>次投</x:v>
      </x:c>
      <x:c r="C23" s="9" t="n">
        <x:f>'岗位清单'!I36</x:f>
        <x:v>78</x:v>
      </x:c>
      <x:c r="D23" s="9" t="str">
        <x:f>'岗位清单'!H36</x:f>
        <x:v>广州</x:v>
      </x:c>
      <x:c r="E23" s="9" t="str">
        <x:f>'岗位清单'!E36</x:f>
        <x:v>腾讯 Level Infinite</x:v>
      </x:c>
      <x:c r="F23" s="9" t="str">
        <x:f>'岗位清单'!G36</x:f>
        <x:v>AI Agent开发工程师（游戏研发，R107498）</x:v>
      </x:c>
      <x:c r="G23" s="9" t="str">
        <x:f>'岗位清单'!L36</x:f>
        <x:v>未披露</x:v>
      </x:c>
      <x:c r="H23" s="9" t="str">
        <x:f>'岗位清单'!M36</x:f>
        <x:v>Onsite（官网明确）</x:v>
      </x:c>
      <x:c r="I23" s="9" t="str">
        <x:f>'岗位清单'!O36</x:f>
        <x:v>Python/C++；游戏研发流程、UE4/5插件优先；Agent/LLM、Tool Calling、RAG；Agent效果评估。</x:v>
      </x:c>
      <x:c r="J23" s="9" t="str">
        <x:f>'岗位清单'!Q36</x:f>
        <x:v>缺游戏/UE5/C++插件经验；同公司在上海有大量研发岗，若保留上海腾讯机会可暂缓。</x:v>
      </x:c>
      <x:c r="K23" s="9" t="str">
        <x:f>'岗位清单'!R36</x:f>
        <x:v>腾讯Workday官网</x:v>
      </x:c>
      <x:c r="L23" s="9" t="str">
        <x:f>'岗位清单'!S36</x:f>
        <x:v>https://tencent.wd1.myworkdayjobs.com/zh-CN/Tencent_Careers/job/AI-Agent--_R107498-2</x:v>
      </x:c>
      <x:c r="M23" s="9" t="str">
        <x:f>'岗位清单'!V36</x:f>
        <x:v>A</x:v>
      </x:c>
    </x:row>
    <x:row r="24" ht="62" customHeight="1">
      <x:c r="A24" s="9" t="str">
        <x:f>'岗位清单'!A37</x:f>
        <x:v>N008</x:v>
      </x:c>
      <x:c r="B24" s="9" t="str">
        <x:f>'岗位清单'!B37</x:f>
        <x:v>次投</x:v>
      </x:c>
      <x:c r="C24" s="9" t="n">
        <x:f>'岗位清单'!I37</x:f>
        <x:v>77</x:v>
      </x:c>
      <x:c r="D24" s="9" t="str">
        <x:f>'岗位清单'!H37</x:f>
        <x:v>佛山</x:v>
      </x:c>
      <x:c r="E24" s="9" t="str">
        <x:f>'岗位清单'!E37</x:f>
        <x:v>Michael Page代招</x:v>
      </x:c>
      <x:c r="F24" s="9" t="str">
        <x:f>'岗位清单'!G37</x:f>
        <x:v>AI Agent（经理/专家）</x:v>
      </x:c>
      <x:c r="G24" s="9" t="str">
        <x:f>'岗位清单'!L37</x:f>
        <x:v>未披露；有年终奖</x:v>
      </x:c>
      <x:c r="H24" s="9" t="str">
        <x:f>'岗位清单'!M37</x:f>
        <x:v>未披露</x:v>
      </x:c>
      <x:c r="I24" s="9" t="str">
        <x:f>'岗位清单'!O37</x:f>
        <x:v>本科；3年以上AI Agent经验；完整落地至少1个AI应用；Python/Java与大模型经验。</x:v>
      </x:c>
      <x:c r="J24" s="9" t="str">
        <x:f>'岗位清单'!Q37</x:f>
        <x:v>岗位名经理/专家且要求3年Agent经验；客户未具名，先核验级别和用工主体。</x:v>
      </x:c>
      <x:c r="K24" s="9" t="str">
        <x:f>'岗位清单'!R37</x:f>
        <x:v>猎头官网</x:v>
      </x:c>
      <x:c r="L24" s="9" t="str">
        <x:f>'岗位清单'!S37</x:f>
        <x:v>https://www.michaelpage.com.cn/job-detail/ai-agent%E7%BB%8F%E7%90%86%E4%B8%93%E5%AE%B6/ref/jn-042026-6986750</x:v>
      </x:c>
      <x:c r="M24" s="9" t="str">
        <x:f>'岗位清单'!V37</x:f>
        <x:v>B</x:v>
      </x:c>
    </x:row>
    <x:row r="25" ht="62" customHeight="1">
      <x:c r="A25" s="9" t="str">
        <x:f>'岗位清单'!A42</x:f>
        <x:v>H003</x:v>
      </x:c>
      <x:c r="B25" s="9" t="str">
        <x:f>'岗位清单'!B42</x:f>
        <x:v>暂缓</x:v>
      </x:c>
      <x:c r="C25" s="9" t="n">
        <x:f>'岗位清单'!I42</x:f>
        <x:v>69</x:v>
      </x:c>
      <x:c r="D25" s="9" t="str">
        <x:f>'岗位清单'!H42</x:f>
        <x:v>西安</x:v>
      </x:c>
      <x:c r="E25" s="9" t="str">
        <x:f>'岗位清单'!E42</x:f>
        <x:v>字节跳动 / 火山引擎</x:v>
      </x:c>
      <x:c r="F25" s="9" t="str">
        <x:f>'岗位清单'!G42</x:f>
        <x:v>AI Agent研发工程师-计算</x:v>
      </x:c>
      <x:c r="G25" s="9" t="str">
        <x:f>'岗位清单'!L42</x:f>
        <x:v>未披露</x:v>
      </x:c>
      <x:c r="H25" s="9" t="str">
        <x:f>'岗位清单'!M42</x:f>
        <x:v>未披露</x:v>
      </x:c>
      <x:c r="I25" s="9" t="str">
        <x:f>'岗位清单'!O42</x:f>
        <x:v>Agent架构、Context、评测/可观测、MCP；3年以上IaaS/计算平台经验。</x:v>
      </x:c>
      <x:c r="J25" s="9" t="str">
        <x:f>'岗位清单'!Q42</x:f>
        <x:v>IaaS深度不足；字节上海有近似岗位，串档风险高。</x:v>
      </x:c>
      <x:c r="K25" s="9" t="str">
        <x:f>'岗位清单'!R42</x:f>
        <x:v>字节招聘官网跳转</x:v>
      </x:c>
      <x:c r="L25" s="9" t="str">
        <x:f>'岗位清单'!S42</x:f>
        <x:v>https://jobs.ultraai.site/jobs/bytedance/7571727651531983109</x:v>
      </x:c>
      <x:c r="M25" s="9" t="str">
        <x:f>'岗位清单'!V42</x:f>
        <x:v>B</x:v>
      </x:c>
    </x:row>
  </x:sheetData>
  <x:mergeCells>
    <x:mergeCell ref="A1:M1"/>
  </x:mergeCells>
  <x:conditionalFormatting sqref="C4:C25">
    <x:cfRule type="dataBar" priority="1">
      <x:dataBar>
        <x:cfvo type="min"/>
        <x:cfvo type="max"/>
        <x:color rgb="FF087F8C"/>
      </x:dataBar>
      <x:extLst>
        <x:ext xmlns:x14="http://schemas.microsoft.com/office/spreadsheetml/2009/9/main" uri="{B025F937-C7B1-47D3-B67F-A62EFF666E3E}">
          <x14:id>{17E20C62-D341-35DB-E376-9BE298603131}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7E20C62-D341-35DB-E376-9BE298603131}">
            <x14:dataBar gradient="1">
              <x14:cfvo type="min"/>
              <x14:cfvo type="max"/>
              <x14:fillColor rgb="FF087F8C"/>
            </x14:dataBar>
          </x14:cfRule>
          <xm:sqref>C4:C25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1" hidden="0" customWidth="1"/>
    <x:col min="4" max="4" width="11" hidden="0" customWidth="1"/>
    <x:col min="5" max="5" width="10" hidden="0" customWidth="1"/>
    <x:col min="6" max="6" width="11" hidden="0" customWidth="1"/>
    <x:col min="7" max="7" width="45" hidden="0" customWidth="1"/>
    <x:col min="8" max="8" width="14" hidden="0" customWidth="1"/>
    <x:col min="9" max="9" width="42" hidden="0" customWidth="1"/>
    <x:col min="10" max="10" width="42" hidden="0" customWidth="1"/>
    <x:col min="11" max="11" width="40" hidden="0" customWidth="1"/>
    <x:col min="12" max="12" width="12" hidden="0" customWidth="1"/>
  </x:cols>
  <x:sheetData>
    <x:row r="1" ht="34" customHeight="1">
      <x:c r="A1" s="3" t="str">
        <x:v>风险暂缓｜保留上海 / 苏州 / 杭州正式机会</x:v>
      </x:c>
      <x:c r="B1" s="3" t="str">
        <x:v>风险暂缓｜保留上海 / 苏州 / 杭州正式机会</x:v>
      </x:c>
      <x:c r="C1" s="3" t="str">
        <x:v>风险暂缓｜保留上海 / 苏州 / 杭州正式机会</x:v>
      </x:c>
      <x:c r="D1" s="3" t="str">
        <x:v>风险暂缓｜保留上海 / 苏州 / 杭州正式机会</x:v>
      </x:c>
      <x:c r="E1" s="3" t="str">
        <x:v>风险暂缓｜保留上海 / 苏州 / 杭州正式机会</x:v>
      </x:c>
      <x:c r="F1" s="3" t="str">
        <x:v>风险暂缓｜保留上海 / 苏州 / 杭州正式机会</x:v>
      </x:c>
      <x:c r="G1" s="3" t="str">
        <x:v>风险暂缓｜保留上海 / 苏州 / 杭州正式机会</x:v>
      </x:c>
      <x:c r="H1" s="3" t="str">
        <x:v>风险暂缓｜保留上海 / 苏州 / 杭州正式机会</x:v>
      </x:c>
      <x:c r="I1" s="3" t="str">
        <x:v>风险暂缓｜保留上海 / 苏州 / 杭州正式机会</x:v>
      </x:c>
      <x:c r="J1" s="3" t="str">
        <x:v>风险暂缓｜保留上海 / 苏州 / 杭州正式机会</x:v>
      </x:c>
      <x:c r="K1" s="3" t="str">
        <x:v>风险暂缓｜保留上海 / 苏州 / 杭州正式机会</x:v>
      </x:c>
      <x:c r="L1" s="3" t="str">
        <x:v>风险暂缓｜保留上海 / 苏州 / 杭州正式机会</x:v>
      </x:c>
    </x:row>
    <x:row r="2">
      <x:c r="A2" s="33" t="str">
        <x:v>暂缓不是说一定会串档，而是信息不足时采用保守策略。投前向HR问：候选人记录是否跨城市共享、拒绝后冷却期、能否同公司多岗位并行。</x:v>
      </x:c>
      <x:c r="B2" s="33" t="str">
        <x:v>暂缓不是说一定会串档，而是信息不足时采用保守策略。投前向HR问：候选人记录是否跨城市共享、拒绝后冷却期、能否同公司多岗位并行。</x:v>
      </x:c>
      <x:c r="C2" s="33" t="str">
        <x:v>暂缓不是说一定会串档，而是信息不足时采用保守策略。投前向HR问：候选人记录是否跨城市共享、拒绝后冷却期、能否同公司多岗位并行。</x:v>
      </x:c>
      <x:c r="D2" s="33" t="str">
        <x:v>暂缓不是说一定会串档，而是信息不足时采用保守策略。投前向HR问：候选人记录是否跨城市共享、拒绝后冷却期、能否同公司多岗位并行。</x:v>
      </x:c>
      <x:c r="E2" s="33" t="str">
        <x:v>暂缓不是说一定会串档，而是信息不足时采用保守策略。投前向HR问：候选人记录是否跨城市共享、拒绝后冷却期、能否同公司多岗位并行。</x:v>
      </x:c>
      <x:c r="F2" s="33" t="str">
        <x:v>暂缓不是说一定会串档，而是信息不足时采用保守策略。投前向HR问：候选人记录是否跨城市共享、拒绝后冷却期、能否同公司多岗位并行。</x:v>
      </x:c>
      <x:c r="G2" s="33" t="str">
        <x:v>暂缓不是说一定会串档，而是信息不足时采用保守策略。投前向HR问：候选人记录是否跨城市共享、拒绝后冷却期、能否同公司多岗位并行。</x:v>
      </x:c>
      <x:c r="H2" s="33" t="str">
        <x:v>暂缓不是说一定会串档，而是信息不足时采用保守策略。投前向HR问：候选人记录是否跨城市共享、拒绝后冷却期、能否同公司多岗位并行。</x:v>
      </x:c>
      <x:c r="I2" s="33" t="str">
        <x:v>暂缓不是说一定会串档，而是信息不足时采用保守策略。投前向HR问：候选人记录是否跨城市共享、拒绝后冷却期、能否同公司多岗位并行。</x:v>
      </x:c>
      <x:c r="J2" s="33" t="str">
        <x:v>暂缓不是说一定会串档，而是信息不足时采用保守策略。投前向HR问：候选人记录是否跨城市共享、拒绝后冷却期、能否同公司多岗位并行。</x:v>
      </x:c>
      <x:c r="K2" s="33" t="str">
        <x:v>暂缓不是说一定会串档，而是信息不足时采用保守策略。投前向HR问：候选人记录是否跨城市共享、拒绝后冷却期、能否同公司多岗位并行。</x:v>
      </x:c>
      <x:c r="L2" s="33" t="str">
        <x:v>暂缓不是说一定会串档，而是信息不足时采用保守策略。投前向HR问：候选人记录是否跨城市共享、拒绝后冷却期、能否同公司多岗位并行。</x:v>
      </x:c>
    </x:row>
    <x:row r="4">
      <x:c r="A4" s="36" t="str">
        <x:v>ID</x:v>
      </x:c>
      <x:c r="B4" s="36" t="str">
        <x:v>公司</x:v>
      </x:c>
      <x:c r="C4" s="36" t="str">
        <x:v>岗位</x:v>
      </x:c>
      <x:c r="D4" s="36" t="str">
        <x:v>城市</x:v>
      </x:c>
      <x:c r="E4" s="36" t="str">
        <x:v>匹配分</x:v>
      </x:c>
      <x:c r="F4" s="36" t="str">
        <x:v>串档风险</x:v>
      </x:c>
      <x:c r="G4" s="36" t="str">
        <x:v>暂缓原因</x:v>
      </x:c>
      <x:c r="H4" s="36" t="str">
        <x:v>未来目标城市</x:v>
      </x:c>
      <x:c r="I4" s="36" t="str">
        <x:v>投递入口</x:v>
      </x:c>
      <x:c r="J4" s="36" t="str">
        <x:v>来源</x:v>
      </x:c>
      <x:c r="K4" s="36" t="str">
        <x:v>建议动作</x:v>
      </x:c>
      <x:c r="L4" s="36" t="str">
        <x:v>状态</x:v>
      </x:c>
    </x:row>
    <x:row r="5" ht="58" customHeight="1">
      <x:c r="A5" s="9" t="str">
        <x:f>'岗位清单'!A39</x:f>
        <x:v>H007</x:v>
      </x:c>
      <x:c r="B5" s="9" t="str">
        <x:f>'岗位清单'!E39</x:f>
        <x:v>小米</x:v>
      </x:c>
      <x:c r="C5" s="9" t="str">
        <x:f>'岗位清单'!G39</x:f>
        <x:v>AI Agent开发工程师（A238670）</x:v>
      </x:c>
      <x:c r="D5" s="9" t="str">
        <x:f>'岗位清单'!H39</x:f>
        <x:v>深圳</x:v>
      </x:c>
      <x:c r="E5" s="9" t="n">
        <x:f>'岗位清单'!I39</x:f>
        <x:v>78</x:v>
      </x:c>
      <x:c r="F5" s="9" t="str">
        <x:f>'岗位清单'!K39</x:f>
        <x:v>高</x:v>
      </x:c>
      <x:c r="G5" s="9" t="str">
        <x:f>'岗位清单'!Q39</x:f>
        <x:v>官网需按职位ID二次确认；小米在上海/北京可能有相似AI岗位。</x:v>
      </x:c>
      <x:c r="H5" s="9" t="str">
        <x:f>"上海"</x:f>
        <x:v>上海</x:v>
      </x:c>
      <x:c r="I5" s="9" t="str">
        <x:f>'岗位清单'!S39</x:f>
        <x:v>https://hr.xiaomi.com/website/opportunities.html</x:v>
      </x:c>
      <x:c r="J5" s="9" t="str">
        <x:f>'岗位清单'!T39</x:f>
        <x:v>https://www.recruit.net/job/ai-agent-jobs/0A763EC2D10AD1DA</x:v>
      </x:c>
      <x:c r="K5" s="9" t="str">
        <x:f>'岗位清单'!Y39</x:f>
        <x:v>暂不投；先核验目标城市相似岗与冷却期</x:v>
      </x:c>
      <x:c r="L5" s="9" t="str">
        <x:f>'岗位清单'!D39</x:f>
        <x:v>暂缓</x:v>
      </x:c>
    </x:row>
    <x:row r="6" ht="58" customHeight="1">
      <x:c r="A6" s="9" t="str">
        <x:f>'岗位清单'!A40</x:f>
        <x:v>H002</x:v>
      </x:c>
      <x:c r="B6" s="9" t="str">
        <x:f>'岗位清单'!E40</x:f>
        <x:v>字节跳动</x:v>
      </x:c>
      <x:c r="C6" s="9" t="str">
        <x:f>'岗位清单'!G40</x:f>
        <x:v>AI Agent后端开发工程师（AI垂直场景）</x:v>
      </x:c>
      <x:c r="D6" s="9" t="str">
        <x:f>'岗位清单'!H40</x:f>
        <x:v>深圳</x:v>
      </x:c>
      <x:c r="E6" s="9" t="n">
        <x:f>'岗位清单'!I40</x:f>
        <x:v>76</x:v>
      </x:c>
      <x:c r="F6" s="9" t="str">
        <x:f>'岗位清单'!K40</x:f>
        <x:v>高</x:v>
      </x:c>
      <x:c r="G6" s="9" t="str">
        <x:f>'岗位清单'!Q40</x:f>
        <x:v>字节上海存在相似岗位，候选人记录可能跨城市共享。</x:v>
      </x:c>
      <x:c r="H6" s="9" t="str">
        <x:f>"上海"</x:f>
        <x:v>上海</x:v>
      </x:c>
      <x:c r="I6" s="9" t="str">
        <x:f>'岗位清单'!S40</x:f>
        <x:v>https://jobs.bytedance.com/experienced/position/7636694952900004101/detail</x:v>
      </x:c>
      <x:c r="J6" s="9" t="str">
        <x:f>'岗位清单'!T40</x:f>
        <x:v>https://jobs.ultraai.site/jobs/bytedance/7636694952900004101</x:v>
      </x:c>
      <x:c r="K6" s="9" t="str">
        <x:f>'岗位清单'!Y40</x:f>
        <x:v>暂不投；先核验目标城市相似岗与冷却期</x:v>
      </x:c>
      <x:c r="L6" s="9" t="str">
        <x:f>'岗位清单'!D40</x:f>
        <x:v>暂缓</x:v>
      </x:c>
    </x:row>
    <x:row r="7" ht="58" customHeight="1">
      <x:c r="A7" s="9" t="str">
        <x:f>'岗位清单'!A41</x:f>
        <x:v>H001</x:v>
      </x:c>
      <x:c r="B7" s="9" t="str">
        <x:f>'岗位清单'!E41</x:f>
        <x:v>字节跳动</x:v>
      </x:c>
      <x:c r="C7" s="9" t="str">
        <x:f>'岗位清单'!G41</x:f>
        <x:v>AI Agent后端开发工程师（AI垂直场景）</x:v>
      </x:c>
      <x:c r="D7" s="9" t="str">
        <x:f>'岗位清单'!H41</x:f>
        <x:v>北京</x:v>
      </x:c>
      <x:c r="E7" s="9" t="n">
        <x:f>'岗位清单'!I41</x:f>
        <x:v>71</x:v>
      </x:c>
      <x:c r="F7" s="9" t="str">
        <x:f>'岗位清单'!K41</x:f>
        <x:v>高</x:v>
      </x:c>
      <x:c r="G7" s="9" t="str">
        <x:f>'岗位清单'!Q41</x:f>
        <x:v>5年门槛略高；字节上海存在相似Agent岗位，可能共享候选人记录。</x:v>
      </x:c>
      <x:c r="H7" s="9" t="str">
        <x:f>"上海"</x:f>
        <x:v>上海</x:v>
      </x:c>
      <x:c r="I7" s="9" t="str">
        <x:f>'岗位清单'!S41</x:f>
        <x:v>https://jobs.bytedance.com/experienced/position/7636681993664874757/detail</x:v>
      </x:c>
      <x:c r="J7" s="9" t="str">
        <x:f>'岗位清单'!T41</x:f>
        <x:v>https://jobs.ultraai.site/jobs/bytedance/7636681993664874757</x:v>
      </x:c>
      <x:c r="K7" s="9" t="str">
        <x:f>'岗位清单'!Y41</x:f>
        <x:v>暂不投；先核验目标城市相似岗与冷却期</x:v>
      </x:c>
      <x:c r="L7" s="9" t="str">
        <x:f>'岗位清单'!D41</x:f>
        <x:v>暂缓</x:v>
      </x:c>
    </x:row>
    <x:row r="8" ht="58" customHeight="1">
      <x:c r="A8" s="9" t="str">
        <x:f>'岗位清单'!A42</x:f>
        <x:v>H003</x:v>
      </x:c>
      <x:c r="B8" s="9" t="str">
        <x:f>'岗位清单'!E42</x:f>
        <x:v>字节跳动 / 火山引擎</x:v>
      </x:c>
      <x:c r="C8" s="9" t="str">
        <x:f>'岗位清单'!G42</x:f>
        <x:v>AI Agent研发工程师-计算</x:v>
      </x:c>
      <x:c r="D8" s="9" t="str">
        <x:f>'岗位清单'!H42</x:f>
        <x:v>西安</x:v>
      </x:c>
      <x:c r="E8" s="9" t="n">
        <x:f>'岗位清单'!I42</x:f>
        <x:v>69</x:v>
      </x:c>
      <x:c r="F8" s="9" t="str">
        <x:f>'岗位清单'!K42</x:f>
        <x:v>高</x:v>
      </x:c>
      <x:c r="G8" s="9" t="str">
        <x:f>'岗位清单'!Q42</x:f>
        <x:v>IaaS深度不足；字节上海有近似岗位，串档风险高。</x:v>
      </x:c>
      <x:c r="H8" s="9" t="str">
        <x:f>"上海"</x:f>
        <x:v>上海</x:v>
      </x:c>
      <x:c r="I8" s="9" t="str">
        <x:f>'岗位清单'!S42</x:f>
        <x:v>https://jobs.ultraai.site/jobs/bytedance/7571727651531983109</x:v>
      </x:c>
      <x:c r="J8" s="9" t="str">
        <x:f>'岗位清单'!T42</x:f>
        <x:v>https://jobs.ultraai.site/jobs/bytedance/7571727651531983109</x:v>
      </x:c>
      <x:c r="K8" s="9" t="str">
        <x:f>'岗位清单'!Y42</x:f>
        <x:v>暂不投；先核验目标城市相似岗与冷却期</x:v>
      </x:c>
      <x:c r="L8" s="9" t="str">
        <x:f>'岗位清单'!D42</x:f>
        <x:v>暂缓</x:v>
      </x:c>
    </x:row>
    <x:row r="9" ht="58" customHeight="1">
      <x:c r="A9" s="9" t="str">
        <x:f>'岗位清单'!A43</x:f>
        <x:v>H004</x:v>
      </x:c>
      <x:c r="B9" s="9" t="str">
        <x:f>'岗位清单'!E43</x:f>
        <x:v>高德地图</x:v>
      </x:c>
      <x:c r="C9" s="9" t="str">
        <x:f>'岗位清单'!G43</x:f>
        <x:v>高级AI应用工程师</x:v>
      </x:c>
      <x:c r="D9" s="9" t="str">
        <x:f>'岗位清单'!H43</x:f>
        <x:v>北京</x:v>
      </x:c>
      <x:c r="E9" s="9" t="n">
        <x:f>'岗位清单'!I43</x:f>
        <x:v>68</x:v>
      </x:c>
      <x:c r="F9" s="9" t="str">
        <x:f>'岗位清单'!K43</x:f>
        <x:v>高</x:v>
      </x:c>
      <x:c r="G9" s="9" t="str">
        <x:f>'岗位清单'!Q43</x:f>
        <x:v>5年门槛；高德/阿里在杭州是核心目标公司，候选人体系可能共享。</x:v>
      </x:c>
      <x:c r="H9" s="9" t="str">
        <x:f>"杭州"</x:f>
        <x:v>杭州</x:v>
      </x:c>
      <x:c r="I9" s="9" t="str">
        <x:f>'岗位清单'!S43</x:f>
        <x:v>https://talent.amap.com/off-campus/position-detail?positionId=100012920005</x:v>
      </x:c>
      <x:c r="J9" s="9" t="str">
        <x:f>'岗位清单'!T43</x:f>
        <x:v>https://jobs.ultraai.site/jobs/amap/100012920005</x:v>
      </x:c>
      <x:c r="K9" s="9" t="str">
        <x:f>'岗位清单'!Y43</x:f>
        <x:v>暂不投；先核验目标城市相似岗与冷却期</x:v>
      </x:c>
      <x:c r="L9" s="9" t="str">
        <x:f>'岗位清单'!D43</x:f>
        <x:v>暂缓</x:v>
      </x:c>
    </x:row>
    <x:row r="10" ht="58" customHeight="1">
      <x:c r="A10" s="9" t="str">
        <x:f>'岗位清单'!A44</x:f>
        <x:v>H006</x:v>
      </x:c>
      <x:c r="B10" s="9" t="str">
        <x:f>'岗位清单'!E44</x:f>
        <x:v>蚂蚁集团</x:v>
      </x:c>
      <x:c r="C10" s="9" t="str">
        <x:f>'岗位清单'!G44</x:f>
        <x:v>AI应用工程师</x:v>
      </x:c>
      <x:c r="D10" s="9" t="str">
        <x:f>'岗位清单'!H44</x:f>
        <x:v>成都</x:v>
      </x:c>
      <x:c r="E10" s="9" t="n">
        <x:f>'岗位清单'!I44</x:f>
        <x:v>64</x:v>
      </x:c>
      <x:c r="F10" s="9" t="str">
        <x:f>'岗位清单'!K44</x:f>
        <x:v>高</x:v>
      </x:c>
      <x:c r="G10" s="9" t="str">
        <x:f>'岗位清单'!Q44</x:f>
        <x:v>岗位写3年以内而你4年；蚂蚁核心机会在杭州，候选人体系可能共享。</x:v>
      </x:c>
      <x:c r="H10" s="9" t="str">
        <x:f>"杭州"</x:f>
        <x:v>杭州</x:v>
      </x:c>
      <x:c r="I10" s="9" t="str">
        <x:f>'岗位清单'!S44</x:f>
        <x:v>https://talent.antgroup.com/off-campus-position?positionId=260731011189574</x:v>
      </x:c>
      <x:c r="J10" s="9" t="str">
        <x:f>'岗位清单'!T44</x:f>
        <x:v>https://jobs.ultraai.site/jobs/ant/260731011189574</x:v>
      </x:c>
      <x:c r="K10" s="9" t="str">
        <x:f>'岗位清单'!Y44</x:f>
        <x:v>暂不投；先核验目标城市相似岗与冷却期</x:v>
      </x:c>
      <x:c r="L10" s="9" t="str">
        <x:f>'岗位清单'!D44</x:f>
        <x:v>暂缓</x:v>
      </x:c>
    </x:row>
    <x:row r="11" ht="58" customHeight="1">
      <x:c r="A11" s="9" t="str">
        <x:f>'岗位清单'!A45</x:f>
        <x:v>H005</x:v>
      </x:c>
      <x:c r="B11" s="9" t="str">
        <x:f>'岗位清单'!E45</x:f>
        <x:v>华为云</x:v>
      </x:c>
      <x:c r="C11" s="9" t="str">
        <x:f>'岗位清单'!G45</x:f>
        <x:v>AI Agent研发工程师</x:v>
      </x:c>
      <x:c r="D11" s="9" t="str">
        <x:f>'岗位清单'!H45</x:f>
        <x:v>北京</x:v>
      </x:c>
      <x:c r="E11" s="9" t="n">
        <x:f>'岗位清单'!I45</x:f>
        <x:v>58</x:v>
      </x:c>
      <x:c r="F11" s="9" t="str">
        <x:f>'岗位清单'!K45</x:f>
        <x:v>高</x:v>
      </x:c>
      <x:c r="G11" s="9" t="str">
        <x:f>'岗位清单'!Q45</x:f>
        <x:v>偏算法研究/强化学习；华为在上海/杭州有大量目标岗位。</x:v>
      </x:c>
      <x:c r="H11" s="9" t="str">
        <x:f>"上海/杭州"</x:f>
        <x:v>上海/杭州</x:v>
      </x:c>
      <x:c r="I11" s="9" t="str">
        <x:f>'岗位清单'!S45</x:f>
        <x:v>https://www.huaweicloud.com/lab/algorithm/social_recruitment.html</x:v>
      </x:c>
      <x:c r="J11" s="9" t="str">
        <x:f>'岗位清单'!T45</x:f>
        <x:v>https://www.huaweicloud.com/lab/algorithm/social_recruitment.html</x:v>
      </x:c>
      <x:c r="K11" s="9" t="str">
        <x:f>'岗位清单'!Y45</x:f>
        <x:v>暂不投；先核验目标城市相似岗与冷却期</x:v>
      </x:c>
      <x:c r="L11" s="9" t="str">
        <x:f>'岗位清单'!D45</x:f>
        <x:v>暂缓</x:v>
      </x:c>
    </x:row>
    <x:row r="12" ht="58" customHeight="1">
      <x:c r="A12" s="9" t="str">
        <x:f>'岗位清单'!A46</x:f>
        <x:v>H008</x:v>
      </x:c>
      <x:c r="B12" s="9" t="str">
        <x:f>'岗位清单'!E46</x:f>
        <x:v>OPPO</x:v>
      </x:c>
      <x:c r="C12" s="9" t="str">
        <x:f>'岗位清单'!G46</x:f>
        <x:v>NLP算法专家</x:v>
      </x:c>
      <x:c r="D12" s="9" t="str">
        <x:f>'岗位清单'!H46</x:f>
        <x:v>深圳</x:v>
      </x:c>
      <x:c r="E12" s="9" t="n">
        <x:f>'岗位清单'!I46</x:f>
        <x:v>58</x:v>
      </x:c>
      <x:c r="F12" s="9" t="str">
        <x:f>'岗位清单'!K46</x:f>
        <x:v>高</x:v>
      </x:c>
      <x:c r="G12" s="9" t="str">
        <x:f>'岗位清单'!Q46</x:f>
        <x:v>年限和算法专家深度偏高；OPPO上海研发机会较多。</x:v>
      </x:c>
      <x:c r="H12" s="9" t="str">
        <x:f>"上海"</x:f>
        <x:v>上海</x:v>
      </x:c>
      <x:c r="I12" s="9" t="str">
        <x:f>'岗位清单'!S46</x:f>
        <x:v>https://career.oppo.com/official/oppo/recruitment/post/2031682259614556161?recruitType=SOCIAL-RECRUITMENT</x:v>
      </x:c>
      <x:c r="J12" s="9" t="str">
        <x:f>'岗位清单'!T46</x:f>
        <x:v>https://career.oppo.com/official/oppo/recruitment/post/2031682259614556161?recruitType=SOCIAL-RECRUITMENT</x:v>
      </x:c>
      <x:c r="K12" s="9" t="str">
        <x:f>'岗位清单'!Y46</x:f>
        <x:v>暂不投；先核验目标城市相似岗与冷却期</x:v>
      </x:c>
      <x:c r="L12" s="9" t="str">
        <x:f>'岗位清单'!D46</x:f>
        <x:v>暂缓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22" hidden="0" customWidth="1"/>
    <x:col min="4" max="4" width="32" hidden="0" customWidth="1"/>
    <x:col min="5" max="5" width="11" hidden="0" customWidth="1"/>
    <x:col min="6" max="6" width="13" hidden="0" customWidth="1"/>
    <x:col min="7" max="7" width="15" hidden="0" customWidth="1"/>
    <x:col min="8" max="8" width="15" hidden="0" customWidth="1"/>
    <x:col min="9" max="9" width="13" hidden="0" customWidth="1"/>
    <x:col min="10" max="10" width="36" hidden="0" customWidth="1"/>
    <x:col min="11" max="11" width="36" hidden="0" customWidth="1"/>
    <x:col min="12" max="12" width="13" hidden="0" customWidth="1"/>
    <x:col min="13" max="13" width="16" hidden="0" customWidth="1"/>
    <x:col min="14" max="14" width="40" hidden="0" customWidth="1"/>
  </x:cols>
  <x:sheetData>
    <x:row r="1" ht="34" customHeight="1">
      <x:c r="A1" s="3" t="str">
        <x:v>投递记录｜手工维护</x:v>
      </x:c>
      <x:c r="B1" s="3" t="str">
        <x:v>投递记录｜手工维护</x:v>
      </x:c>
      <x:c r="C1" s="3" t="str">
        <x:v>投递记录｜手工维护</x:v>
      </x:c>
      <x:c r="D1" s="3" t="str">
        <x:v>投递记录｜手工维护</x:v>
      </x:c>
      <x:c r="E1" s="3" t="str">
        <x:v>投递记录｜手工维护</x:v>
      </x:c>
      <x:c r="F1" s="3" t="str">
        <x:v>投递记录｜手工维护</x:v>
      </x:c>
      <x:c r="G1" s="3" t="str">
        <x:v>投递记录｜手工维护</x:v>
      </x:c>
      <x:c r="H1" s="3" t="str">
        <x:v>投递记录｜手工维护</x:v>
      </x:c>
      <x:c r="I1" s="3" t="str">
        <x:v>投递记录｜手工维护</x:v>
      </x:c>
      <x:c r="J1" s="3" t="str">
        <x:v>投递记录｜手工维护</x:v>
      </x:c>
      <x:c r="K1" s="3" t="str">
        <x:v>投递记录｜手工维护</x:v>
      </x:c>
      <x:c r="L1" s="3" t="str">
        <x:v>投递记录｜手工维护</x:v>
      </x:c>
      <x:c r="M1" s="3" t="str">
        <x:v>投递记录｜手工维护</x:v>
      </x:c>
      <x:c r="N1" s="3" t="str">
        <x:v>投递记录｜手工维护</x:v>
      </x:c>
    </x:row>
    <x:row r="2">
      <x:c r="A2" s="38" t="str">
        <x:v>已按《投递执行包_2026-08-27.md》同步可核验结果；未出现成功页/回执的申请保守标为“待本人确认”，不冒记成功。</x:v>
      </x:c>
      <x:c r="B2" s="38" t="str">
        <x:v>已按《投递执行包_2026-08-27.md》同步可核验结果；未出现成功页/回执的申请保守标为“待本人确认”，不冒记成功。</x:v>
      </x:c>
      <x:c r="C2" s="38" t="str">
        <x:v>已按《投递执行包_2026-08-27.md》同步可核验结果；未出现成功页/回执的申请保守标为“待本人确认”，不冒记成功。</x:v>
      </x:c>
      <x:c r="D2" s="38" t="str">
        <x:v>已按《投递执行包_2026-08-27.md》同步可核验结果；未出现成功页/回执的申请保守标为“待本人确认”，不冒记成功。</x:v>
      </x:c>
      <x:c r="E2" s="38" t="str">
        <x:v>已按《投递执行包_2026-08-27.md》同步可核验结果；未出现成功页/回执的申请保守标为“待本人确认”，不冒记成功。</x:v>
      </x:c>
      <x:c r="F2" s="38" t="str">
        <x:v>已按《投递执行包_2026-08-27.md》同步可核验结果；未出现成功页/回执的申请保守标为“待本人确认”，不冒记成功。</x:v>
      </x:c>
      <x:c r="G2" s="38" t="str">
        <x:v>已按《投递执行包_2026-08-27.md》同步可核验结果；未出现成功页/回执的申请保守标为“待本人确认”，不冒记成功。</x:v>
      </x:c>
      <x:c r="H2" s="38" t="str">
        <x:v>已按《投递执行包_2026-08-27.md》同步可核验结果；未出现成功页/回执的申请保守标为“待本人确认”，不冒记成功。</x:v>
      </x:c>
      <x:c r="I2" s="38" t="str">
        <x:v>已按《投递执行包_2026-08-27.md》同步可核验结果；未出现成功页/回执的申请保守标为“待本人确认”，不冒记成功。</x:v>
      </x:c>
      <x:c r="J2" s="38" t="str">
        <x:v>已按《投递执行包_2026-08-27.md》同步可核验结果；未出现成功页/回执的申请保守标为“待本人确认”，不冒记成功。</x:v>
      </x:c>
      <x:c r="K2" s="38" t="str">
        <x:v>已按《投递执行包_2026-08-27.md》同步可核验结果；未出现成功页/回执的申请保守标为“待本人确认”，不冒记成功。</x:v>
      </x:c>
      <x:c r="L2" s="38" t="str">
        <x:v>已按《投递执行包_2026-08-27.md》同步可核验结果；未出现成功页/回执的申请保守标为“待本人确认”，不冒记成功。</x:v>
      </x:c>
      <x:c r="M2" s="38" t="str">
        <x:v>已按《投递执行包_2026-08-27.md》同步可核验结果；未出现成功页/回执的申请保守标为“待本人确认”，不冒记成功。</x:v>
      </x:c>
      <x:c r="N2" s="38" t="str">
        <x:v>已按《投递执行包_2026-08-27.md》同步可核验结果；未出现成功页/回执的申请保守标为“待本人确认”，不冒记成功。</x:v>
      </x:c>
    </x:row>
    <x:row r="4">
      <x:c r="A4" s="27" t="str">
        <x:v>ID</x:v>
      </x:c>
      <x:c r="B4" s="27" t="str">
        <x:v>队列</x:v>
      </x:c>
      <x:c r="C4" s="27" t="str">
        <x:v>公司</x:v>
      </x:c>
      <x:c r="D4" s="27" t="str">
        <x:v>岗位</x:v>
      </x:c>
      <x:c r="E4" s="27" t="str">
        <x:v>城市</x:v>
      </x:c>
      <x:c r="F4" s="27" t="str">
        <x:v>投递日期</x:v>
      </x:c>
      <x:c r="G4" s="27" t="str">
        <x:v>渠道</x:v>
      </x:c>
      <x:c r="H4" s="27" t="str">
        <x:v>状态</x:v>
      </x:c>
      <x:c r="I4" s="27" t="str">
        <x:v>面试轮次</x:v>
      </x:c>
      <x:c r="J4" s="27" t="str">
        <x:v>结果/反馈</x:v>
      </x:c>
      <x:c r="K4" s="27" t="str">
        <x:v>下次动作</x:v>
      </x:c>
      <x:c r="L4" s="27" t="str">
        <x:v>跟进日期</x:v>
      </x:c>
      <x:c r="M4" s="27" t="str">
        <x:v>简历版本</x:v>
      </x:c>
      <x:c r="N4" s="27" t="str">
        <x:v>备注</x:v>
      </x:c>
    </x:row>
    <x:row r="5" ht="48" customHeight="1">
      <x:c r="A5" s="9" t="str">
        <x:f>'岗位清单'!A4</x:f>
        <x:v>B006</x:v>
      </x:c>
      <x:c r="B5" s="9" t="str">
        <x:f>'岗位清单'!B4</x:f>
        <x:v>先投</x:v>
      </x:c>
      <x:c r="C5" s="9" t="str">
        <x:f>'岗位清单'!E4</x:f>
        <x:v>北控水务</x:v>
      </x:c>
      <x:c r="D5" s="9" t="str">
        <x:f>'岗位清单'!G4</x:f>
        <x:v>大模型与智能体开发工程师（J14604）</x:v>
      </x:c>
      <x:c r="E5" s="9" t="str">
        <x:f>'岗位清单'!H4</x:f>
        <x:v>北京</x:v>
      </x:c>
      <x:c r="F5" s="40" t="n">
        <x:v>46261</x:v>
      </x:c>
      <x:c r="G5" s="9" t="str">
        <x:v>招聘平台</x:v>
      </x:c>
      <x:c r="H5" s="9" t="str">
        <x:v>已投递</x:v>
      </x:c>
      <x:c r="I5" s="9" t="str"/>
      <x:c r="J5" s="9" t="str">
        <x:v>智联已发送简历和打招呼语</x:v>
      </x:c>
      <x:c r="K5" s="9" t="str">
        <x:v>等待回执；3–5个工作日后跟进</x:v>
      </x:c>
      <x:c r="L5" s="40" t="str"/>
      <x:c r="M5" s="9" t="str">
        <x:v>中文MT版</x:v>
      </x:c>
      <x:c r="N5" s="9" t="str">
        <x:v>来源：投递执行包_2026-08-27.md</x:v>
      </x:c>
    </x:row>
    <x:row r="6" ht="48" customHeight="1">
      <x:c r="A6" s="9" t="str">
        <x:f>'岗位清单'!A5</x:f>
        <x:v>C002</x:v>
      </x:c>
      <x:c r="B6" s="9" t="str">
        <x:f>'岗位清单'!B5</x:f>
        <x:v>先投</x:v>
      </x:c>
      <x:c r="C6" s="9" t="str">
        <x:f>'岗位清单'!E5</x:f>
        <x:v>超图软件 SuperMap</x:v>
      </x:c>
      <x:c r="D6" s="9" t="str">
        <x:f>'岗位清单'!G5</x:f>
        <x:v>AI算法工程师（实际为Agent全栈）</x:v>
      </x:c>
      <x:c r="E6" s="9" t="str">
        <x:f>'岗位清单'!H5</x:f>
        <x:v>成都</x:v>
      </x:c>
      <x:c r="F6" s="40" t="n">
        <x:v>46261</x:v>
      </x:c>
      <x:c r="G6" s="9" t="str">
        <x:v>邮件</x:v>
      </x:c>
      <x:c r="H6" s="9" t="str">
        <x:v>已投递</x:v>
      </x:c>
      <x:c r="I6" s="9" t="str"/>
      <x:c r="J6" s="9" t="str">
        <x:v>已邮件投递</x:v>
      </x:c>
      <x:c r="K6" s="9" t="str">
        <x:v>保留发件记录；5个工作日后跟进</x:v>
      </x:c>
      <x:c r="L6" s="40" t="str"/>
      <x:c r="M6" s="9" t="str">
        <x:v>中文MT版</x:v>
      </x:c>
      <x:c r="N6" s="9" t="str">
        <x:v>来源：投递执行包_2026-08-27.md</x:v>
      </x:c>
    </x:row>
    <x:row r="7" ht="48" customHeight="1">
      <x:c r="A7" s="9" t="str">
        <x:f>'岗位清单'!A6</x:f>
        <x:v>N002</x:v>
      </x:c>
      <x:c r="B7" s="9" t="str">
        <x:f>'岗位清单'!B6</x:f>
        <x:v>先投</x:v>
      </x:c>
      <x:c r="C7" s="9" t="str">
        <x:f>'岗位清单'!E6</x:f>
        <x:v>TD SYNNEX</x:v>
      </x:c>
      <x:c r="D7" s="9" t="str">
        <x:f>'岗位清单'!G6</x:f>
        <x:v>Software Engineer / AI应用开发工程师</x:v>
      </x:c>
      <x:c r="E7" s="9" t="str">
        <x:f>'岗位清单'!H6</x:f>
        <x:v>成都</x:v>
      </x:c>
      <x:c r="F7" s="40"/>
      <x:c r="G7" s="9" t="str">
        <x:v>官网</x:v>
      </x:c>
      <x:c r="H7" s="9" t="str">
        <x:v>待本人继续</x:v>
      </x:c>
      <x:c r="I7" s="9" t="str"/>
      <x:c r="J7" s="9" t="str">
        <x:v>已登录、上传PDF并部分填写到第2步，未提交</x:v>
      </x:c>
      <x:c r="K7" s="9" t="str">
        <x:v>本人继续完成Workday剩余字段并提交</x:v>
      </x:c>
      <x:c r="L7" s="40" t="str"/>
      <x:c r="M7" s="9" t="str"/>
      <x:c r="N7" s="9" t="str">
        <x:v>来源：投递执行包_2026-08-27.md</x:v>
      </x:c>
    </x:row>
    <x:row r="8" ht="48" customHeight="1">
      <x:c r="A8" s="9" t="str">
        <x:f>'岗位清单'!A7</x:f>
        <x:v>N001</x:v>
      </x:c>
      <x:c r="B8" s="9" t="str">
        <x:f>'岗位清单'!B7</x:f>
        <x:v>先投</x:v>
      </x:c>
      <x:c r="C8" s="9" t="str">
        <x:f>'岗位清单'!E7</x:f>
        <x:v>荔枝集团 LIZHI</x:v>
      </x:c>
      <x:c r="D8" s="9" t="str">
        <x:f>'岗位清单'!G7</x:f>
        <x:v>大模型应用工程师</x:v>
      </x:c>
      <x:c r="E8" s="9" t="str">
        <x:f>'岗位清单'!H7</x:f>
        <x:v>广州</x:v>
      </x:c>
      <x:c r="F8" s="40" t="n">
        <x:v>46261</x:v>
      </x:c>
      <x:c r="G8" s="9" t="str">
        <x:v>官网</x:v>
      </x:c>
      <x:c r="H8" s="9" t="str">
        <x:v>已投递</x:v>
      </x:c>
      <x:c r="I8" s="9" t="str"/>
      <x:c r="J8" s="9" t="str">
        <x:v>飞书官网显示投递成功</x:v>
      </x:c>
      <x:c r="K8" s="9" t="str">
        <x:v>等待回执；准备广州岗位面试</x:v>
      </x:c>
      <x:c r="L8" s="40" t="str"/>
      <x:c r="M8" s="9" t="str">
        <x:v>中文MT版</x:v>
      </x:c>
      <x:c r="N8" s="9" t="str">
        <x:v>来源：投递执行包_2026-08-27.md</x:v>
      </x:c>
    </x:row>
    <x:row r="9" ht="48" customHeight="1">
      <x:c r="A9" s="9" t="str">
        <x:f>'岗位清单'!A8</x:f>
        <x:v>N005</x:v>
      </x:c>
      <x:c r="B9" s="9" t="str">
        <x:f>'岗位清单'!B8</x:f>
        <x:v>先投</x:v>
      </x:c>
      <x:c r="C9" s="9" t="str">
        <x:f>'岗位清单'!E8</x:f>
        <x:v>合肥中科类脑</x:v>
      </x:c>
      <x:c r="D9" s="9" t="str">
        <x:f>'岗位清单'!G8</x:f>
        <x:v>算法工程师（Agent）</x:v>
      </x:c>
      <x:c r="E9" s="9" t="str">
        <x:f>'岗位清单'!H8</x:f>
        <x:v>合肥</x:v>
      </x:c>
      <x:c r="F9" s="40" t="n">
        <x:v>46261</x:v>
      </x:c>
      <x:c r="G9" s="9" t="str">
        <x:v>邮件</x:v>
      </x:c>
      <x:c r="H9" s="9" t="str">
        <x:v>已投递</x:v>
      </x:c>
      <x:c r="I9" s="9" t="str"/>
      <x:c r="J9" s="9" t="str">
        <x:v>已邮件投递</x:v>
      </x:c>
      <x:c r="K9" s="9" t="str">
        <x:v>5个工作日后跟进</x:v>
      </x:c>
      <x:c r="L9" s="40" t="str"/>
      <x:c r="M9" s="9" t="str">
        <x:v>中文MT版</x:v>
      </x:c>
      <x:c r="N9" s="9" t="str">
        <x:v>来源：投递执行包_2026-08-27.md</x:v>
      </x:c>
    </x:row>
    <x:row r="10" ht="48" customHeight="1">
      <x:c r="A10" s="9" t="str">
        <x:f>'岗位清单'!A9</x:f>
        <x:v>N004</x:v>
      </x:c>
      <x:c r="B10" s="9" t="str">
        <x:f>'岗位清单'!B9</x:f>
        <x:v>先投</x:v>
      </x:c>
      <x:c r="C10" s="9" t="str">
        <x:f>'岗位清单'!E9</x:f>
        <x:v>南京运梦科技</x:v>
      </x:c>
      <x:c r="D10" s="9" t="str">
        <x:f>'岗位清单'!G9</x:f>
        <x:v>Agent全栈开发工程师</x:v>
      </x:c>
      <x:c r="E10" s="9" t="str">
        <x:f>'岗位清单'!H9</x:f>
        <x:v>南京</x:v>
      </x:c>
      <x:c r="F10" s="40" t="n">
        <x:v>46261</x:v>
      </x:c>
      <x:c r="G10" s="9" t="str">
        <x:v>邮件</x:v>
      </x:c>
      <x:c r="H10" s="9" t="str">
        <x:v>已投递</x:v>
      </x:c>
      <x:c r="I10" s="9" t="str"/>
      <x:c r="J10" s="9" t="str">
        <x:v>已邮件投递</x:v>
      </x:c>
      <x:c r="K10" s="9" t="str">
        <x:v>5个工作日后跟进</x:v>
      </x:c>
      <x:c r="L10" s="40" t="str"/>
      <x:c r="M10" s="9" t="str">
        <x:v>中文MT版</x:v>
      </x:c>
      <x:c r="N10" s="9" t="str">
        <x:v>来源：投递执行包_2026-08-27.md</x:v>
      </x:c>
    </x:row>
    <x:row r="11" ht="48" customHeight="1">
      <x:c r="A11" s="9" t="str">
        <x:f>'岗位清单'!A10</x:f>
        <x:v>SZ004</x:v>
      </x:c>
      <x:c r="B11" s="9" t="str">
        <x:f>'岗位清单'!B10</x:f>
        <x:v>先投</x:v>
      </x:c>
      <x:c r="C11" s="9" t="str">
        <x:f>'岗位清单'!E10</x:f>
        <x:v>Morgan Philips代招</x:v>
      </x:c>
      <x:c r="D11" s="9" t="str">
        <x:f>'岗位清单'!G10</x:f>
        <x:v>AI大模型应用工程师（RAG与智能体）</x:v>
      </x:c>
      <x:c r="E11" s="9" t="str">
        <x:f>'岗位清单'!H10</x:f>
        <x:v>深圳</x:v>
      </x:c>
      <x:c r="F11" s="40"/>
      <x:c r="G11" s="9" t="str">
        <x:v>猎头</x:v>
      </x:c>
      <x:c r="H11" s="9" t="str">
        <x:v>待本人确认</x:v>
      </x:c>
      <x:c r="I11" s="9" t="str"/>
      <x:c r="J11" s="9" t="str">
        <x:v>姓名/联系方式/隐私/CAPTCHA已完成，多次点击未见成功页</x:v>
      </x:c>
      <x:c r="K11" s="9" t="str">
        <x:v>本人打开页面确认记录；必要时再点一次提交</x:v>
      </x:c>
      <x:c r="L11" s="40" t="str"/>
      <x:c r="M11" s="9" t="str"/>
      <x:c r="N11" s="9" t="str">
        <x:v>来源：投递执行包_2026-08-27.md</x:v>
      </x:c>
    </x:row>
    <x:row r="12" ht="48" customHeight="1">
      <x:c r="A12" s="9" t="str">
        <x:f>'岗位清单'!A11</x:f>
        <x:v>SZ008</x:v>
      </x:c>
      <x:c r="B12" s="9" t="str">
        <x:f>'岗位清单'!B11</x:f>
        <x:v>先投</x:v>
      </x:c>
      <x:c r="C12" s="9" t="str">
        <x:f>'岗位清单'!E11</x:f>
        <x:v>绿联科技 UGREEN</x:v>
      </x:c>
      <x:c r="D12" s="9" t="str">
        <x:f>'岗位清单'!G11</x:f>
        <x:v>AI Agent前端开发工程师</x:v>
      </x:c>
      <x:c r="E12" s="9" t="str">
        <x:f>'岗位清单'!H11</x:f>
        <x:v>深圳</x:v>
      </x:c>
      <x:c r="F12" s="40"/>
      <x:c r="G12" s="9" t="str">
        <x:v>招聘平台</x:v>
      </x:c>
      <x:c r="H12" s="9" t="str">
        <x:v>暂停招聘</x:v>
      </x:c>
      <x:c r="I12" s="9" t="str"/>
      <x:c r="J12" s="9" t="str">
        <x:v>岗位已暂停</x:v>
      </x:c>
      <x:c r="K12" s="9" t="str">
        <x:v>停止投递；保留岗位画像用于复习</x:v>
      </x:c>
      <x:c r="L12" s="40" t="str"/>
      <x:c r="M12" s="9" t="str"/>
      <x:c r="N12" s="9" t="str">
        <x:v>来源：投递执行包_2026-08-27.md</x:v>
      </x:c>
    </x:row>
    <x:row r="13" ht="48" customHeight="1">
      <x:c r="A13" s="9" t="str">
        <x:f>'岗位清单'!A12</x:f>
        <x:v>B001</x:v>
      </x:c>
      <x:c r="B13" s="9" t="str">
        <x:f>'岗位清单'!B12</x:f>
        <x:v>先投</x:v>
      </x:c>
      <x:c r="C13" s="9" t="str">
        <x:f>'岗位清单'!E12</x:f>
        <x:v>京东</x:v>
      </x:c>
      <x:c r="D13" s="9" t="str">
        <x:f>'岗位清单'!G12</x:f>
        <x:v>大模型应用算法/开发专家（Agent方向）</x:v>
      </x:c>
      <x:c r="E13" s="9" t="str">
        <x:f>'岗位清单'!H12</x:f>
        <x:v>北京</x:v>
      </x:c>
      <x:c r="F13" s="40" t="n">
        <x:v>46261</x:v>
      </x:c>
      <x:c r="G13" s="9" t="str">
        <x:v>官网</x:v>
      </x:c>
      <x:c r="H13" s="9" t="str">
        <x:v>已投递</x:v>
      </x:c>
      <x:c r="I13" s="9" t="str"/>
      <x:c r="J13" s="9" t="str">
        <x:v>京东官网投递成功</x:v>
      </x:c>
      <x:c r="K13" s="9" t="str">
        <x:v>等待回执；准备平台级Agent系统设计</x:v>
      </x:c>
      <x:c r="L13" s="40" t="str"/>
      <x:c r="M13" s="9" t="str">
        <x:v>中文MT版</x:v>
      </x:c>
      <x:c r="N13" s="9" t="str">
        <x:v>来源：投递执行包_2026-08-27.md</x:v>
      </x:c>
    </x:row>
    <x:row r="14" ht="48" customHeight="1">
      <x:c r="A14" s="9" t="str">
        <x:f>'岗位清单'!A13</x:f>
        <x:v>B002</x:v>
      </x:c>
      <x:c r="B14" s="9" t="str">
        <x:f>'岗位清单'!B13</x:f>
        <x:v>先投</x:v>
      </x:c>
      <x:c r="C14" s="9" t="str">
        <x:f>'岗位清单'!E13</x:f>
        <x:v>百度</x:v>
      </x:c>
      <x:c r="D14" s="9" t="str">
        <x:f>'岗位清单'!G13</x:f>
        <x:v>AI应用工程师（J101300）</x:v>
      </x:c>
      <x:c r="E14" s="9" t="str">
        <x:f>'岗位清单'!H13</x:f>
        <x:v>北京</x:v>
      </x:c>
      <x:c r="F14" s="40"/>
      <x:c r="G14" s="9" t="str">
        <x:v>官网</x:v>
      </x:c>
      <x:c r="H14" s="9" t="str">
        <x:v>待本人手工</x:v>
      </x:c>
      <x:c r="I14" s="9" t="str"/>
      <x:c r="J14" s="9" t="str">
        <x:v>集成浏览器无法打开岗位详情</x:v>
      </x:c>
      <x:c r="K14" s="9" t="str">
        <x:v>本人在百度招聘官网手工投递</x:v>
      </x:c>
      <x:c r="L14" s="40" t="str"/>
      <x:c r="M14" s="9" t="str"/>
      <x:c r="N14" s="9" t="str">
        <x:v>来源：投递执行包_2026-08-27.md</x:v>
      </x:c>
    </x:row>
    <x:row r="15" ht="48" customHeight="1">
      <x:c r="A15" s="9" t="str">
        <x:f>'岗位清单'!A14</x:f>
        <x:v>N010</x:v>
      </x:c>
      <x:c r="B15" s="9" t="str">
        <x:f>'岗位清单'!B14</x:f>
        <x:v>先投</x:v>
      </x:c>
      <x:c r="C15" s="9" t="str">
        <x:f>'岗位清单'!E14</x:f>
        <x:v>光庭信息</x:v>
      </x:c>
      <x:c r="D15" s="9" t="str">
        <x:f>'岗位清单'!G14</x:f>
        <x:v>后端开发工程师（AI应用方向）</x:v>
      </x:c>
      <x:c r="E15" s="9" t="str">
        <x:f>'岗位清单'!H14</x:f>
        <x:v>武汉</x:v>
      </x:c>
      <x:c r="F15" s="40" t="n">
        <x:v>46261</x:v>
      </x:c>
      <x:c r="G15" s="9" t="str">
        <x:v>招聘平台</x:v>
      </x:c>
      <x:c r="H15" s="9" t="str">
        <x:v>已投递</x:v>
      </x:c>
      <x:c r="I15" s="9" t="str"/>
      <x:c r="J15" s="9" t="str">
        <x:v>智联已发送简历和打招呼语</x:v>
      </x:c>
      <x:c r="K15" s="9" t="str">
        <x:v>等待回执；3–5个工作日后跟进</x:v>
      </x:c>
      <x:c r="L15" s="40" t="str"/>
      <x:c r="M15" s="9" t="str">
        <x:v>中文MT版</x:v>
      </x:c>
      <x:c r="N15" s="9" t="str">
        <x:v>来源：投递执行包_2026-08-27.md</x:v>
      </x:c>
    </x:row>
    <x:row r="16" ht="48" customHeight="1">
      <x:c r="A16" s="9" t="str">
        <x:f>'岗位清单'!A15</x:f>
        <x:v>B003</x:v>
      </x:c>
      <x:c r="B16" s="9" t="str">
        <x:f>'岗位清单'!B15</x:f>
        <x:v>先投</x:v>
      </x:c>
      <x:c r="C16" s="9" t="str">
        <x:f>'岗位清单'!E15</x:f>
        <x:v>百度</x:v>
      </x:c>
      <x:c r="D16" s="9" t="str">
        <x:f>'岗位清单'!G15</x:f>
        <x:v>Agent后端研发工程师（J103882）</x:v>
      </x:c>
      <x:c r="E16" s="9" t="str">
        <x:f>'岗位清单'!H15</x:f>
        <x:v>北京</x:v>
      </x:c>
      <x:c r="F16" s="40"/>
      <x:c r="G16" s="9" t="str">
        <x:v>官网</x:v>
      </x:c>
      <x:c r="H16" s="9" t="str">
        <x:v>待本人手工</x:v>
      </x:c>
      <x:c r="I16" s="9" t="str"/>
      <x:c r="J16" s="9" t="str">
        <x:v>集成浏览器无法打开岗位详情</x:v>
      </x:c>
      <x:c r="K16" s="9" t="str">
        <x:v>本人在百度招聘官网手工投递</x:v>
      </x:c>
      <x:c r="L16" s="40" t="str"/>
      <x:c r="M16" s="9" t="str"/>
      <x:c r="N16" s="9" t="str">
        <x:v>来源：投递执行包_2026-08-27.md</x:v>
      </x:c>
    </x:row>
    <x:row r="17" ht="48" customHeight="1">
      <x:c r="A17" s="9" t="str">
        <x:f>'岗位清单'!A16</x:f>
        <x:v>N006</x:v>
      </x:c>
      <x:c r="B17" s="9" t="str">
        <x:f>'岗位清单'!B16</x:f>
        <x:v>先投</x:v>
      </x:c>
      <x:c r="C17" s="9" t="str">
        <x:f>'岗位清单'!E16</x:f>
        <x:v>重庆青竹数智科技</x:v>
      </x:c>
      <x:c r="D17" s="9" t="str">
        <x:f>'岗位清单'!G16</x:f>
        <x:v>AI大模型应用工程师</x:v>
      </x:c>
      <x:c r="E17" s="9" t="str">
        <x:f>'岗位清单'!H16</x:f>
        <x:v>重庆</x:v>
      </x:c>
      <x:c r="F17" s="40" t="n">
        <x:v>46261</x:v>
      </x:c>
      <x:c r="G17" s="9" t="str">
        <x:v>招聘平台</x:v>
      </x:c>
      <x:c r="H17" s="9" t="str">
        <x:v>已投递</x:v>
      </x:c>
      <x:c r="I17" s="9" t="str"/>
      <x:c r="J17" s="9" t="str">
        <x:v>智联已发送简历和打招呼语</x:v>
      </x:c>
      <x:c r="K17" s="9" t="str">
        <x:v>等待回执；3–5个工作日后跟进</x:v>
      </x:c>
      <x:c r="L17" s="40" t="str"/>
      <x:c r="M17" s="9" t="str">
        <x:v>中文MT版</x:v>
      </x:c>
      <x:c r="N17" s="9" t="str">
        <x:v>来源：投递执行包_2026-08-27.md</x:v>
      </x:c>
    </x:row>
    <x:row r="18" ht="48" customHeight="1">
      <x:c r="A18" s="9" t="str">
        <x:f>'岗位清单'!A17</x:f>
        <x:v>ZL-A002</x:v>
      </x:c>
      <x:c r="B18" s="9" t="str">
        <x:f>'岗位清单'!B17</x:f>
        <x:v>先投</x:v>
      </x:c>
      <x:c r="C18" s="9" t="str">
        <x:f>'岗位清单'!E17</x:f>
        <x:v>北京亿智云科技有限公司</x:v>
      </x:c>
      <x:c r="D18" s="9" t="str">
        <x:f>'岗位清单'!G17</x:f>
        <x:v>AI Agent开发工程师（政务智能体方向）</x:v>
      </x:c>
      <x:c r="E18" s="9" t="str">
        <x:f>'岗位清单'!H17</x:f>
        <x:v>北京</x:v>
      </x:c>
      <x:c r="F18" s="40" t="n">
        <x:v>46261</x:v>
      </x:c>
      <x:c r="G18" s="9" t="str">
        <x:v>招聘平台</x:v>
      </x:c>
      <x:c r="H18" s="9" t="str">
        <x:v>已投递</x:v>
      </x:c>
      <x:c r="I18" s="9" t="str"/>
      <x:c r="J18" s="9" t="str">
        <x:v>智联已投递</x:v>
      </x:c>
      <x:c r="K18" s="9" t="str">
        <x:v>等待回执；准备政务知识库与安全</x:v>
      </x:c>
      <x:c r="L18" s="40" t="str"/>
      <x:c r="M18" s="9" t="str">
        <x:v>中文MT版</x:v>
      </x:c>
      <x:c r="N18" s="9" t="str">
        <x:v>来源：投递执行包_2026-08-27.md</x:v>
      </x:c>
    </x:row>
    <x:row r="19" ht="48" customHeight="1">
      <x:c r="A19" s="9" t="str">
        <x:f>'岗位清单'!A18</x:f>
        <x:v>ZL-A006</x:v>
      </x:c>
      <x:c r="B19" s="9" t="str">
        <x:f>'岗位清单'!B18</x:f>
        <x:v>先投</x:v>
      </x:c>
      <x:c r="C19" s="9" t="str">
        <x:f>'岗位清单'!E18</x:f>
        <x:v>北京赛迪时代信息产业股份有限公司</x:v>
      </x:c>
      <x:c r="D19" s="9" t="str">
        <x:f>'岗位清单'!G18</x:f>
        <x:v>大模型应用开发工程师</x:v>
      </x:c>
      <x:c r="E19" s="9" t="str">
        <x:f>'岗位清单'!H18</x:f>
        <x:v>北京</x:v>
      </x:c>
      <x:c r="F19" s="40" t="n">
        <x:v>46261</x:v>
      </x:c>
      <x:c r="G19" s="9" t="str">
        <x:v>招聘平台</x:v>
      </x:c>
      <x:c r="H19" s="9" t="str">
        <x:v>已投递</x:v>
      </x:c>
      <x:c r="I19" s="9" t="str"/>
      <x:c r="J19" s="9" t="str">
        <x:v>智联已投递</x:v>
      </x:c>
      <x:c r="K19" s="9" t="str">
        <x:v>等待回执；核验政企交付/驻场</x:v>
      </x:c>
      <x:c r="L19" s="40" t="str"/>
      <x:c r="M19" s="9" t="str">
        <x:v>中文MT版</x:v>
      </x:c>
      <x:c r="N19" s="9" t="str">
        <x:v>来源：投递执行包_2026-08-27.md</x:v>
      </x:c>
    </x:row>
    <x:row r="20" ht="48" customHeight="1">
      <x:c r="A20" s="9" t="str">
        <x:f>'岗位清单'!A19</x:f>
        <x:v>ZL-A001</x:v>
      </x:c>
      <x:c r="B20" s="9" t="str">
        <x:f>'岗位清单'!B19</x:f>
        <x:v>先投</x:v>
      </x:c>
      <x:c r="C20" s="9" t="str">
        <x:f>'岗位清单'!E19</x:f>
        <x:v>深圳市瓴知智能科技有限公司</x:v>
      </x:c>
      <x:c r="D20" s="9" t="str">
        <x:f>'岗位清单'!G19</x:f>
        <x:v>AI Agent应用开发工程师</x:v>
      </x:c>
      <x:c r="E20" s="9" t="str">
        <x:f>'岗位清单'!H19</x:f>
        <x:v>深圳</x:v>
      </x:c>
      <x:c r="F20" s="40" t="n">
        <x:v>46261</x:v>
      </x:c>
      <x:c r="G20" s="9" t="str">
        <x:v>招聘平台</x:v>
      </x:c>
      <x:c r="H20" s="9" t="str">
        <x:v>已投递</x:v>
      </x:c>
      <x:c r="I20" s="9" t="str"/>
      <x:c r="J20" s="9" t="str">
        <x:v>智联已投递</x:v>
      </x:c>
      <x:c r="K20" s="9" t="str">
        <x:v>等待回执；面试前回看完整JD</x:v>
      </x:c>
      <x:c r="L20" s="40" t="str"/>
      <x:c r="M20" s="9" t="str">
        <x:v>中文MT版</x:v>
      </x:c>
      <x:c r="N20" s="9" t="str">
        <x:v>来源：投递执行包_2026-08-27.md</x:v>
      </x:c>
    </x:row>
    <x:row r="21" ht="48" customHeight="1">
      <x:c r="A21" s="9" t="str">
        <x:f>'岗位清单'!A20</x:f>
        <x:v>N003</x:v>
      </x:c>
      <x:c r="B21" s="9" t="str">
        <x:f>'岗位清单'!B20</x:f>
        <x:v>先投</x:v>
      </x:c>
      <x:c r="C21" s="9" t="str">
        <x:f>'岗位清单'!E20</x:f>
        <x:v>LingoAce（领格教育）</x:v>
      </x:c>
      <x:c r="D21" s="9" t="str">
        <x:f>'岗位清单'!G20</x:f>
        <x:v>Agent/AI研发工程师（R20261869）</x:v>
      </x:c>
      <x:c r="E21" s="9" t="str">
        <x:f>'岗位清单'!H20</x:f>
        <x:v>武汉</x:v>
      </x:c>
      <x:c r="F21" s="40" t="n">
        <x:v>46261</x:v>
      </x:c>
      <x:c r="G21" s="9" t="str">
        <x:v>官网</x:v>
      </x:c>
      <x:c r="H21" s="9" t="str">
        <x:v>已投递</x:v>
      </x:c>
      <x:c r="I21" s="9" t="str"/>
      <x:c r="J21" s="9" t="str">
        <x:v>本人已完成投递</x:v>
      </x:c>
      <x:c r="K21" s="9" t="str">
        <x:v>等待回执；准备Java迁移与企业Agent稳定性</x:v>
      </x:c>
      <x:c r="L21" s="40" t="str"/>
      <x:c r="M21" s="9" t="str">
        <x:v>中文MT版</x:v>
      </x:c>
      <x:c r="N21" s="9" t="str">
        <x:v>来源：投递执行包_2026-08-27.md</x:v>
      </x:c>
    </x:row>
    <x:row r="22" ht="48" customHeight="1">
      <x:c r="A22" s="9" t="str">
        <x:f>'岗位清单'!A21</x:f>
        <x:v>ZL-A005</x:v>
      </x:c>
      <x:c r="B22" s="9" t="str">
        <x:f>'岗位清单'!B21</x:f>
        <x:v>先投</x:v>
      </x:c>
      <x:c r="C22" s="9" t="str">
        <x:f>'岗位清单'!E21</x:f>
        <x:v>合肥中贸科技有限公司</x:v>
      </x:c>
      <x:c r="D22" s="9" t="str">
        <x:f>'岗位清单'!G21</x:f>
        <x:v>AI Agent应用开发（Dify）</x:v>
      </x:c>
      <x:c r="E22" s="9" t="str">
        <x:f>'岗位清单'!H21</x:f>
        <x:v>合肥</x:v>
      </x:c>
      <x:c r="F22" s="40" t="n">
        <x:v>46261</x:v>
      </x:c>
      <x:c r="G22" s="9" t="str">
        <x:v>招聘平台</x:v>
      </x:c>
      <x:c r="H22" s="9" t="str">
        <x:v>已投递</x:v>
      </x:c>
      <x:c r="I22" s="9" t="str"/>
      <x:c r="J22" s="9" t="str">
        <x:v>智联已投递</x:v>
      </x:c>
      <x:c r="K22" s="9" t="str">
        <x:v>等待回执；补Dify平台问答</x:v>
      </x:c>
      <x:c r="L22" s="40" t="str"/>
      <x:c r="M22" s="9" t="str">
        <x:v>中文MT版</x:v>
      </x:c>
      <x:c r="N22" s="9" t="str">
        <x:v>来源：投递执行包_2026-08-27.md</x:v>
      </x:c>
    </x:row>
    <x:row r="23" ht="48" customHeight="1">
      <x:c r="A23" s="9" t="str">
        <x:f>'岗位清单'!A22</x:f>
        <x:v>ZL-A003</x:v>
      </x:c>
      <x:c r="B23" s="9" t="str">
        <x:f>'岗位清单'!B22</x:f>
        <x:v>先投</x:v>
      </x:c>
      <x:c r="C23" s="9" t="str">
        <x:f>'岗位清单'!E22</x:f>
        <x:v>青矩技术股份有限公司</x:v>
      </x:c>
      <x:c r="D23" s="9" t="str">
        <x:f>'岗位清单'!G22</x:f>
        <x:v>AI工程师</x:v>
      </x:c>
      <x:c r="E23" s="9" t="str">
        <x:f>'岗位清单'!H22</x:f>
        <x:v>北京</x:v>
      </x:c>
      <x:c r="F23" s="40" t="n">
        <x:v>46261</x:v>
      </x:c>
      <x:c r="G23" s="9" t="str">
        <x:v>招聘平台</x:v>
      </x:c>
      <x:c r="H23" s="9" t="str">
        <x:v>已投递</x:v>
      </x:c>
      <x:c r="I23" s="9" t="str"/>
      <x:c r="J23" s="9" t="str">
        <x:v>智联已投递</x:v>
      </x:c>
      <x:c r="K23" s="9" t="str">
        <x:v>等待回执；先确认岗位技术方向</x:v>
      </x:c>
      <x:c r="L23" s="40" t="str"/>
      <x:c r="M23" s="9" t="str">
        <x:v>中文MT版</x:v>
      </x:c>
      <x:c r="N23" s="9" t="str">
        <x:v>来源：投递执行包_2026-08-27.md</x:v>
      </x:c>
    </x:row>
    <x:row r="24" ht="48" customHeight="1">
      <x:c r="A24" s="9" t="str">
        <x:f>'岗位清单'!A23</x:f>
        <x:v>ZL-A004</x:v>
      </x:c>
      <x:c r="B24" s="9" t="str">
        <x:f>'岗位清单'!B23</x:f>
        <x:v>先投</x:v>
      </x:c>
      <x:c r="C24" s="9" t="str">
        <x:f>'岗位清单'!E23</x:f>
        <x:v>郑州联创优聘信息科技有限公司</x:v>
      </x:c>
      <x:c r="D24" s="9" t="str">
        <x:f>'岗位清单'!G23</x:f>
        <x:v>AI应用开发工程师 AI Agent</x:v>
      </x:c>
      <x:c r="E24" s="9" t="str">
        <x:f>'岗位清单'!H23</x:f>
        <x:v>成都</x:v>
      </x:c>
      <x:c r="F24" s="40" t="n">
        <x:v>46261</x:v>
      </x:c>
      <x:c r="G24" s="9" t="str">
        <x:v>招聘平台</x:v>
      </x:c>
      <x:c r="H24" s="9" t="str">
        <x:v>已投递</x:v>
      </x:c>
      <x:c r="I24" s="9" t="str"/>
      <x:c r="J24" s="9" t="str">
        <x:v>智联已投递</x:v>
      </x:c>
      <x:c r="K24" s="9" t="str">
        <x:v>等待回执；优先核验真实用工主体</x:v>
      </x:c>
      <x:c r="L24" s="40" t="str"/>
      <x:c r="M24" s="9" t="str">
        <x:v>中文MT版</x:v>
      </x:c>
      <x:c r="N24" s="9" t="str">
        <x:v>来源：投递执行包_2026-08-27.md</x:v>
      </x:c>
    </x:row>
    <x:row r="25" ht="48" customHeight="1">
      <x:c r="A25" s="9" t="str">
        <x:f>'岗位清单'!A24</x:f>
        <x:v>C003</x:v>
      </x:c>
      <x:c r="B25" s="9" t="str">
        <x:f>'岗位清单'!B24</x:f>
        <x:v>次投</x:v>
      </x:c>
      <x:c r="C25" s="9" t="str">
        <x:f>'岗位清单'!E24</x:f>
        <x:v>枢星数智科技</x:v>
      </x:c>
      <x:c r="D25" s="9" t="str">
        <x:f>'岗位清单'!G24</x:f>
        <x:v>大模型算法工程师（Agent应用）</x:v>
      </x:c>
      <x:c r="E25" s="9" t="str">
        <x:f>'岗位清单'!H24</x:f>
        <x:v>成都</x:v>
      </x:c>
      <x:c r="F25" s="40"/>
      <x:c r="G25" s="9" t="str"/>
      <x:c r="H25" s="9" t="str">
        <x:v>待投</x:v>
      </x:c>
      <x:c r="I25" s="9" t="str"/>
      <x:c r="J25" s="9" t="str"/>
      <x:c r="K25" s="9" t="str"/>
      <x:c r="L25" s="40" t="str"/>
      <x:c r="M25" s="9" t="str"/>
      <x:c r="N25" s="9" t="str"/>
    </x:row>
    <x:row r="26" ht="48" customHeight="1">
      <x:c r="A26" s="9" t="str">
        <x:f>'岗位清单'!A25</x:f>
        <x:v>SZ003</x:v>
      </x:c>
      <x:c r="B26" s="9" t="str">
        <x:f>'岗位清单'!B25</x:f>
        <x:v>次投</x:v>
      </x:c>
      <x:c r="C26" s="9" t="str">
        <x:f>'岗位清单'!E25</x:f>
        <x:v>招银网络科技</x:v>
      </x:c>
      <x:c r="D26" s="9" t="str">
        <x:f>'岗位清单'!G25</x:f>
        <x:v>AI Agent开发工程师</x:v>
      </x:c>
      <x:c r="E26" s="9" t="str">
        <x:f>'岗位清单'!H25</x:f>
        <x:v>深圳</x:v>
      </x:c>
      <x:c r="F26" s="40"/>
      <x:c r="G26" s="9" t="str"/>
      <x:c r="H26" s="9" t="str">
        <x:v>待投</x:v>
      </x:c>
      <x:c r="I26" s="9" t="str"/>
      <x:c r="J26" s="9" t="str"/>
      <x:c r="K26" s="9" t="str"/>
      <x:c r="L26" s="40" t="str"/>
      <x:c r="M26" s="9" t="str"/>
      <x:c r="N26" s="9" t="str"/>
    </x:row>
    <x:row r="27" ht="48" customHeight="1">
      <x:c r="A27" s="9" t="str">
        <x:f>'岗位清单'!A26</x:f>
        <x:v>SZ005</x:v>
      </x:c>
      <x:c r="B27" s="9" t="str">
        <x:f>'岗位清单'!B26</x:f>
        <x:v>次投</x:v>
      </x:c>
      <x:c r="C27" s="9" t="str">
        <x:f>'岗位清单'!E26</x:f>
        <x:v>云从科技</x:v>
      </x:c>
      <x:c r="D27" s="9" t="str">
        <x:f>'岗位清单'!G26</x:f>
        <x:v>大模型应用开发工程师（RAG/知识库）</x:v>
      </x:c>
      <x:c r="E27" s="9" t="str">
        <x:f>'岗位清单'!H26</x:f>
        <x:v>深圳</x:v>
      </x:c>
      <x:c r="F27" s="40"/>
      <x:c r="G27" s="9" t="str"/>
      <x:c r="H27" s="9" t="str">
        <x:v>待投</x:v>
      </x:c>
      <x:c r="I27" s="9" t="str"/>
      <x:c r="J27" s="9" t="str"/>
      <x:c r="K27" s="9" t="str"/>
      <x:c r="L27" s="40" t="str"/>
      <x:c r="M27" s="9" t="str"/>
      <x:c r="N27" s="9" t="str"/>
    </x:row>
    <x:row r="28" ht="48" customHeight="1">
      <x:c r="A28" s="9" t="str">
        <x:f>'岗位清单'!A27</x:f>
        <x:v>C005</x:v>
      </x:c>
      <x:c r="B28" s="9" t="str">
        <x:f>'岗位清单'!B27</x:f>
        <x:v>次投</x:v>
      </x:c>
      <x:c r="C28" s="9" t="str">
        <x:f>'岗位清单'!E27</x:f>
        <x:v>成都运达科技</x:v>
      </x:c>
      <x:c r="D28" s="9" t="str">
        <x:f>'岗位清单'!G27</x:f>
        <x:v>大模型算法研发工程师</x:v>
      </x:c>
      <x:c r="E28" s="9" t="str">
        <x:f>'岗位清单'!H27</x:f>
        <x:v>成都</x:v>
      </x:c>
      <x:c r="F28" s="40"/>
      <x:c r="G28" s="9" t="str"/>
      <x:c r="H28" s="9" t="str">
        <x:v>待投</x:v>
      </x:c>
      <x:c r="I28" s="9" t="str"/>
      <x:c r="J28" s="9" t="str"/>
      <x:c r="K28" s="9" t="str"/>
      <x:c r="L28" s="40" t="str"/>
      <x:c r="M28" s="9" t="str"/>
      <x:c r="N28" s="9" t="str"/>
    </x:row>
    <x:row r="29" ht="48" customHeight="1">
      <x:c r="A29" s="9" t="str">
        <x:f>'岗位清单'!A28</x:f>
        <x:v>N012</x:v>
      </x:c>
      <x:c r="B29" s="9" t="str">
        <x:f>'岗位清单'!B28</x:f>
        <x:v>次投</x:v>
      </x:c>
      <x:c r="C29" s="9" t="str">
        <x:f>'岗位清单'!E28</x:f>
        <x:v>西安讯蜂科技</x:v>
      </x:c>
      <x:c r="D29" s="9" t="str">
        <x:f>'岗位清单'!G28</x:f>
        <x:v>AI研发工程师</x:v>
      </x:c>
      <x:c r="E29" s="9" t="str">
        <x:f>'岗位清单'!H28</x:f>
        <x:v>西安</x:v>
      </x:c>
      <x:c r="F29" s="40"/>
      <x:c r="G29" s="9" t="str"/>
      <x:c r="H29" s="9" t="str">
        <x:v>待投</x:v>
      </x:c>
      <x:c r="I29" s="9" t="str"/>
      <x:c r="J29" s="9" t="str"/>
      <x:c r="K29" s="9" t="str"/>
      <x:c r="L29" s="40" t="str"/>
      <x:c r="M29" s="9" t="str"/>
      <x:c r="N29" s="9" t="str"/>
    </x:row>
    <x:row r="30" ht="48" customHeight="1">
      <x:c r="A30" s="9" t="str">
        <x:f>'岗位清单'!A29</x:f>
        <x:v>C004</x:v>
      </x:c>
      <x:c r="B30" s="9" t="str">
        <x:f>'岗位清单'!B29</x:f>
        <x:v>次投</x:v>
      </x:c>
      <x:c r="C30" s="9" t="str">
        <x:f>'岗位清单'!E29</x:f>
        <x:v>航空工业成都飞机设计研究所</x:v>
      </x:c>
      <x:c r="D30" s="9" t="str">
        <x:f>'岗位清单'!G29</x:f>
        <x:v>AI应用算法与应用工程师</x:v>
      </x:c>
      <x:c r="E30" s="9" t="str">
        <x:f>'岗位清单'!H29</x:f>
        <x:v>成都</x:v>
      </x:c>
      <x:c r="F30" s="40"/>
      <x:c r="G30" s="9" t="str"/>
      <x:c r="H30" s="9" t="str">
        <x:v>待投</x:v>
      </x:c>
      <x:c r="I30" s="9" t="str"/>
      <x:c r="J30" s="9" t="str"/>
      <x:c r="K30" s="9" t="str"/>
      <x:c r="L30" s="40" t="str"/>
      <x:c r="M30" s="9" t="str"/>
      <x:c r="N30" s="9" t="str"/>
    </x:row>
    <x:row r="31" ht="48" customHeight="1">
      <x:c r="A31" s="9" t="str">
        <x:f>'岗位清单'!A30</x:f>
        <x:v>N007</x:v>
      </x:c>
      <x:c r="B31" s="9" t="str">
        <x:f>'岗位清单'!B30</x:f>
        <x:v>次投</x:v>
      </x:c>
      <x:c r="C31" s="9" t="str">
        <x:f>'岗位清单'!E30</x:f>
        <x:v>先进数通</x:v>
      </x:c>
      <x:c r="D31" s="9" t="str">
        <x:f>'岗位清单'!G30</x:f>
        <x:v>大模型应用开发工程师（Agent方向，J13760）</x:v>
      </x:c>
      <x:c r="E31" s="9" t="str">
        <x:f>'岗位清单'!H30</x:f>
        <x:v>佛山</x:v>
      </x:c>
      <x:c r="F31" s="40"/>
      <x:c r="G31" s="9" t="str"/>
      <x:c r="H31" s="9" t="str">
        <x:v>待投</x:v>
      </x:c>
      <x:c r="I31" s="9" t="str"/>
      <x:c r="J31" s="9" t="str"/>
      <x:c r="K31" s="9" t="str"/>
      <x:c r="L31" s="40" t="str"/>
      <x:c r="M31" s="9" t="str"/>
      <x:c r="N31" s="9" t="str"/>
    </x:row>
    <x:row r="32" ht="48" customHeight="1">
      <x:c r="A32" s="9" t="str">
        <x:f>'岗位清单'!A31</x:f>
        <x:v>N013</x:v>
      </x:c>
      <x:c r="B32" s="9" t="str">
        <x:f>'岗位清单'!B31</x:f>
        <x:v>次投</x:v>
      </x:c>
      <x:c r="C32" s="9" t="str">
        <x:f>'岗位清单'!E31</x:f>
        <x:v>某游戏公司（猎头未披露）</x:v>
      </x:c>
      <x:c r="D32" s="9" t="str">
        <x:f>'岗位清单'!G31</x:f>
        <x:v>AI研发工程师（LLM方向）</x:v>
      </x:c>
      <x:c r="E32" s="9" t="str">
        <x:f>'岗位清单'!H31</x:f>
        <x:v>武汉</x:v>
      </x:c>
      <x:c r="F32" s="40"/>
      <x:c r="G32" s="9" t="str"/>
      <x:c r="H32" s="9" t="str">
        <x:v>待投</x:v>
      </x:c>
      <x:c r="I32" s="9" t="str"/>
      <x:c r="J32" s="9" t="str"/>
      <x:c r="K32" s="9" t="str"/>
      <x:c r="L32" s="40" t="str"/>
      <x:c r="M32" s="9" t="str"/>
      <x:c r="N32" s="9" t="str"/>
    </x:row>
    <x:row r="33" ht="48" customHeight="1">
      <x:c r="A33" s="9" t="str">
        <x:f>'岗位清单'!A32</x:f>
        <x:v>N011</x:v>
      </x:c>
      <x:c r="B33" s="9" t="str">
        <x:f>'岗位清单'!B32</x:f>
        <x:v>次投</x:v>
      </x:c>
      <x:c r="C33" s="9" t="str">
        <x:f>'岗位清单'!E32</x:f>
        <x:v>南京嘉环科技</x:v>
      </x:c>
      <x:c r="D33" s="9" t="str">
        <x:f>'岗位清单'!G32</x:f>
        <x:v>AI应用工程师</x:v>
      </x:c>
      <x:c r="E33" s="9" t="str">
        <x:f>'岗位清单'!H32</x:f>
        <x:v>南京</x:v>
      </x:c>
      <x:c r="F33" s="40"/>
      <x:c r="G33" s="9" t="str"/>
      <x:c r="H33" s="9" t="str">
        <x:v>待投</x:v>
      </x:c>
      <x:c r="I33" s="9" t="str"/>
      <x:c r="J33" s="9" t="str"/>
      <x:c r="K33" s="9" t="str"/>
      <x:c r="L33" s="40" t="str"/>
      <x:c r="M33" s="9" t="str"/>
      <x:c r="N33" s="9" t="str"/>
    </x:row>
    <x:row r="34" ht="48" customHeight="1">
      <x:c r="A34" s="9" t="str">
        <x:f>'岗位清单'!A33</x:f>
        <x:v>LP-A001</x:v>
      </x:c>
      <x:c r="B34" s="9" t="str">
        <x:f>'岗位清单'!B33</x:f>
        <x:v>次投</x:v>
      </x:c>
      <x:c r="C34" s="9" t="str">
        <x:f>'岗位清单'!E33</x:f>
        <x:v>宁波银辰投资管理有限公司</x:v>
      </x:c>
      <x:c r="D34" s="9" t="str">
        <x:f>'岗位清单'!G33</x:f>
        <x:v>AI Agent应用工程师（投研方向）</x:v>
      </x:c>
      <x:c r="E34" s="9" t="str">
        <x:f>'岗位清单'!H33</x:f>
        <x:v>宁波</x:v>
      </x:c>
      <x:c r="F34" s="40"/>
      <x:c r="G34" s="9" t="str">
        <x:v>猎头</x:v>
      </x:c>
      <x:c r="H34" s="9" t="str">
        <x:v>待本人确认</x:v>
      </x:c>
      <x:c r="I34" s="9" t="str"/>
      <x:c r="J34" s="9" t="str">
        <x:v>点击“聊一聊”，未看到可验证的成功回执</x:v>
      </x:c>
      <x:c r="K34" s="9" t="str">
        <x:v>本人检查猎聘沟通/投递记录</x:v>
      </x:c>
      <x:c r="L34" s="40" t="str"/>
      <x:c r="M34" s="9" t="str"/>
      <x:c r="N34" s="9" t="str">
        <x:v>来源：投递执行包_2026-08-27.md</x:v>
      </x:c>
    </x:row>
    <x:row r="35" ht="48" customHeight="1">
      <x:c r="A35" s="9" t="str">
        <x:f>'岗位清单'!A34</x:f>
        <x:v>LP-A002</x:v>
      </x:c>
      <x:c r="B35" s="9" t="str">
        <x:f>'岗位清单'!B34</x:f>
        <x:v>次投</x:v>
      </x:c>
      <x:c r="C35" s="9" t="str">
        <x:f>'岗位清单'!E34</x:f>
        <x:v>宁波全拓海伦数智科技有限公司</x:v>
      </x:c>
      <x:c r="D35" s="9" t="str">
        <x:f>'岗位清单'!G34</x:f>
        <x:v>AI Agent工程师</x:v>
      </x:c>
      <x:c r="E35" s="9" t="str">
        <x:f>'岗位清单'!H34</x:f>
        <x:v>宁波</x:v>
      </x:c>
      <x:c r="F35" s="40"/>
      <x:c r="G35" s="9" t="str">
        <x:v>猎头</x:v>
      </x:c>
      <x:c r="H35" s="9" t="str">
        <x:v>待本人确认</x:v>
      </x:c>
      <x:c r="I35" s="9" t="str"/>
      <x:c r="J35" s="9" t="str">
        <x:v>点击“聊一聊”，未看到可验证的成功回执</x:v>
      </x:c>
      <x:c r="K35" s="9" t="str">
        <x:v>本人检查猎聘沟通/投递记录</x:v>
      </x:c>
      <x:c r="L35" s="40" t="str"/>
      <x:c r="M35" s="9" t="str"/>
      <x:c r="N35" s="9" t="str">
        <x:v>来源：投递执行包_2026-08-27.md</x:v>
      </x:c>
    </x:row>
    <x:row r="36" ht="48" customHeight="1">
      <x:c r="A36" s="9" t="str">
        <x:f>'岗位清单'!A35</x:f>
        <x:v>SZ007</x:v>
      </x:c>
      <x:c r="B36" s="9" t="str">
        <x:f>'岗位清单'!B35</x:f>
        <x:v>次投</x:v>
      </x:c>
      <x:c r="C36" s="9" t="str">
        <x:f>'岗位清单'!E35</x:f>
        <x:v>豹拓智能</x:v>
      </x:c>
      <x:c r="D36" s="9" t="str">
        <x:f>'岗位清单'!G35</x:f>
        <x:v>AI智能体工程师</x:v>
      </x:c>
      <x:c r="E36" s="9" t="str">
        <x:f>'岗位清单'!H35</x:f>
        <x:v>深圳</x:v>
      </x:c>
      <x:c r="F36" s="40"/>
      <x:c r="G36" s="9" t="str"/>
      <x:c r="H36" s="9" t="str">
        <x:v>待投</x:v>
      </x:c>
      <x:c r="I36" s="9" t="str"/>
      <x:c r="J36" s="9" t="str"/>
      <x:c r="K36" s="9" t="str"/>
      <x:c r="L36" s="40" t="str"/>
      <x:c r="M36" s="9" t="str"/>
      <x:c r="N36" s="9" t="str"/>
    </x:row>
    <x:row r="37" ht="48" customHeight="1">
      <x:c r="A37" s="9" t="str">
        <x:f>'岗位清单'!A36</x:f>
        <x:v>N009</x:v>
      </x:c>
      <x:c r="B37" s="9" t="str">
        <x:f>'岗位清单'!B36</x:f>
        <x:v>次投</x:v>
      </x:c>
      <x:c r="C37" s="9" t="str">
        <x:f>'岗位清单'!E36</x:f>
        <x:v>腾讯 Level Infinite</x:v>
      </x:c>
      <x:c r="D37" s="9" t="str">
        <x:f>'岗位清单'!G36</x:f>
        <x:v>AI Agent开发工程师（游戏研发，R107498）</x:v>
      </x:c>
      <x:c r="E37" s="9" t="str">
        <x:f>'岗位清单'!H36</x:f>
        <x:v>广州</x:v>
      </x:c>
      <x:c r="F37" s="40"/>
      <x:c r="G37" s="9" t="str"/>
      <x:c r="H37" s="9" t="str">
        <x:v>待投</x:v>
      </x:c>
      <x:c r="I37" s="9" t="str"/>
      <x:c r="J37" s="9" t="str"/>
      <x:c r="K37" s="9" t="str"/>
      <x:c r="L37" s="40" t="str"/>
      <x:c r="M37" s="9" t="str"/>
      <x:c r="N37" s="9" t="str"/>
    </x:row>
    <x:row r="38" ht="48" customHeight="1">
      <x:c r="A38" s="9" t="str">
        <x:f>'岗位清单'!A37</x:f>
        <x:v>N008</x:v>
      </x:c>
      <x:c r="B38" s="9" t="str">
        <x:f>'岗位清单'!B37</x:f>
        <x:v>次投</x:v>
      </x:c>
      <x:c r="C38" s="9" t="str">
        <x:f>'岗位清单'!E37</x:f>
        <x:v>Michael Page代招</x:v>
      </x:c>
      <x:c r="D38" s="9" t="str">
        <x:f>'岗位清单'!G37</x:f>
        <x:v>AI Agent（经理/专家）</x:v>
      </x:c>
      <x:c r="E38" s="9" t="str">
        <x:f>'岗位清单'!H37</x:f>
        <x:v>佛山</x:v>
      </x:c>
      <x:c r="F38" s="40"/>
      <x:c r="G38" s="9" t="str"/>
      <x:c r="H38" s="9" t="str">
        <x:v>待投</x:v>
      </x:c>
      <x:c r="I38" s="9" t="str"/>
      <x:c r="J38" s="9" t="str"/>
      <x:c r="K38" s="9" t="str"/>
      <x:c r="L38" s="40" t="str"/>
      <x:c r="M38" s="9" t="str"/>
      <x:c r="N38" s="9" t="str"/>
    </x:row>
    <x:row r="39" ht="48" customHeight="1">
      <x:c r="A39" s="9" t="str">
        <x:f>'岗位清单'!A38</x:f>
        <x:v>SZ006</x:v>
      </x:c>
      <x:c r="B39" s="9" t="str">
        <x:f>'岗位清单'!B38</x:f>
        <x:v>次投</x:v>
      </x:c>
      <x:c r="C39" s="9" t="str">
        <x:f>'岗位清单'!E38</x:f>
        <x:v>鹏劳人力 / 中国电信深圳分公司</x:v>
      </x:c>
      <x:c r="D39" s="9" t="str">
        <x:f>'岗位清单'!G38</x:f>
        <x:v>大模型应用开发工程师</x:v>
      </x:c>
      <x:c r="E39" s="9" t="str">
        <x:f>'岗位清单'!H38</x:f>
        <x:v>深圳</x:v>
      </x:c>
      <x:c r="F39" s="40"/>
      <x:c r="G39" s="9" t="str"/>
      <x:c r="H39" s="9" t="str">
        <x:v>待投</x:v>
      </x:c>
      <x:c r="I39" s="9" t="str"/>
      <x:c r="J39" s="9" t="str"/>
      <x:c r="K39" s="9" t="str"/>
      <x:c r="L39" s="40" t="str"/>
      <x:c r="M39" s="9" t="str"/>
      <x:c r="N39" s="9" t="str"/>
    </x:row>
    <x:row r="40" ht="48" customHeight="1">
      <x:c r="A40" s="9" t="str">
        <x:f>'岗位清单'!A39</x:f>
        <x:v>H007</x:v>
      </x:c>
      <x:c r="B40" s="9" t="str">
        <x:f>'岗位清单'!B39</x:f>
        <x:v>暂缓</x:v>
      </x:c>
      <x:c r="C40" s="9" t="str">
        <x:f>'岗位清单'!E39</x:f>
        <x:v>小米</x:v>
      </x:c>
      <x:c r="D40" s="9" t="str">
        <x:f>'岗位清单'!G39</x:f>
        <x:v>AI Agent开发工程师（A238670）</x:v>
      </x:c>
      <x:c r="E40" s="9" t="str">
        <x:f>'岗位清单'!H39</x:f>
        <x:v>深圳</x:v>
      </x:c>
      <x:c r="F40" s="40"/>
      <x:c r="G40" s="9" t="str"/>
      <x:c r="H40" s="9" t="str">
        <x:v>暂缓</x:v>
      </x:c>
      <x:c r="I40" s="9" t="str"/>
      <x:c r="J40" s="9" t="str"/>
      <x:c r="K40" s="9" t="str"/>
      <x:c r="L40" s="40" t="str"/>
      <x:c r="M40" s="9" t="str"/>
      <x:c r="N40" s="9" t="str"/>
    </x:row>
    <x:row r="41" ht="48" customHeight="1">
      <x:c r="A41" s="9" t="str">
        <x:f>'岗位清单'!A40</x:f>
        <x:v>H002</x:v>
      </x:c>
      <x:c r="B41" s="9" t="str">
        <x:f>'岗位清单'!B40</x:f>
        <x:v>暂缓</x:v>
      </x:c>
      <x:c r="C41" s="9" t="str">
        <x:f>'岗位清单'!E40</x:f>
        <x:v>字节跳动</x:v>
      </x:c>
      <x:c r="D41" s="9" t="str">
        <x:f>'岗位清单'!G40</x:f>
        <x:v>AI Agent后端开发工程师（AI垂直场景）</x:v>
      </x:c>
      <x:c r="E41" s="9" t="str">
        <x:f>'岗位清单'!H40</x:f>
        <x:v>深圳</x:v>
      </x:c>
      <x:c r="F41" s="40"/>
      <x:c r="G41" s="9" t="str"/>
      <x:c r="H41" s="9" t="str">
        <x:v>暂缓</x:v>
      </x:c>
      <x:c r="I41" s="9" t="str"/>
      <x:c r="J41" s="9" t="str"/>
      <x:c r="K41" s="9" t="str"/>
      <x:c r="L41" s="40" t="str"/>
      <x:c r="M41" s="9" t="str"/>
      <x:c r="N41" s="9" t="str"/>
    </x:row>
    <x:row r="42" ht="48" customHeight="1">
      <x:c r="A42" s="9" t="str">
        <x:f>'岗位清单'!A41</x:f>
        <x:v>H001</x:v>
      </x:c>
      <x:c r="B42" s="9" t="str">
        <x:f>'岗位清单'!B41</x:f>
        <x:v>暂缓</x:v>
      </x:c>
      <x:c r="C42" s="9" t="str">
        <x:f>'岗位清单'!E41</x:f>
        <x:v>字节跳动</x:v>
      </x:c>
      <x:c r="D42" s="9" t="str">
        <x:f>'岗位清单'!G41</x:f>
        <x:v>AI Agent后端开发工程师（AI垂直场景）</x:v>
      </x:c>
      <x:c r="E42" s="9" t="str">
        <x:f>'岗位清单'!H41</x:f>
        <x:v>北京</x:v>
      </x:c>
      <x:c r="F42" s="40"/>
      <x:c r="G42" s="9" t="str"/>
      <x:c r="H42" s="9" t="str">
        <x:v>暂缓</x:v>
      </x:c>
      <x:c r="I42" s="9" t="str"/>
      <x:c r="J42" s="9" t="str"/>
      <x:c r="K42" s="9" t="str"/>
      <x:c r="L42" s="40" t="str"/>
      <x:c r="M42" s="9" t="str"/>
      <x:c r="N42" s="9" t="str"/>
    </x:row>
    <x:row r="43" ht="48" customHeight="1">
      <x:c r="A43" s="9" t="str">
        <x:f>'岗位清单'!A42</x:f>
        <x:v>H003</x:v>
      </x:c>
      <x:c r="B43" s="9" t="str">
        <x:f>'岗位清单'!B42</x:f>
        <x:v>暂缓</x:v>
      </x:c>
      <x:c r="C43" s="9" t="str">
        <x:f>'岗位清单'!E42</x:f>
        <x:v>字节跳动 / 火山引擎</x:v>
      </x:c>
      <x:c r="D43" s="9" t="str">
        <x:f>'岗位清单'!G42</x:f>
        <x:v>AI Agent研发工程师-计算</x:v>
      </x:c>
      <x:c r="E43" s="9" t="str">
        <x:f>'岗位清单'!H42</x:f>
        <x:v>西安</x:v>
      </x:c>
      <x:c r="F43" s="40"/>
      <x:c r="G43" s="9" t="str"/>
      <x:c r="H43" s="9" t="str">
        <x:v>暂缓</x:v>
      </x:c>
      <x:c r="I43" s="9" t="str"/>
      <x:c r="J43" s="9" t="str"/>
      <x:c r="K43" s="9" t="str"/>
      <x:c r="L43" s="40" t="str"/>
      <x:c r="M43" s="9" t="str"/>
      <x:c r="N43" s="9" t="str"/>
    </x:row>
    <x:row r="44" ht="48" customHeight="1">
      <x:c r="A44" s="9" t="str">
        <x:f>'岗位清单'!A43</x:f>
        <x:v>H004</x:v>
      </x:c>
      <x:c r="B44" s="9" t="str">
        <x:f>'岗位清单'!B43</x:f>
        <x:v>暂缓</x:v>
      </x:c>
      <x:c r="C44" s="9" t="str">
        <x:f>'岗位清单'!E43</x:f>
        <x:v>高德地图</x:v>
      </x:c>
      <x:c r="D44" s="9" t="str">
        <x:f>'岗位清单'!G43</x:f>
        <x:v>高级AI应用工程师</x:v>
      </x:c>
      <x:c r="E44" s="9" t="str">
        <x:f>'岗位清单'!H43</x:f>
        <x:v>北京</x:v>
      </x:c>
      <x:c r="F44" s="40"/>
      <x:c r="G44" s="9" t="str"/>
      <x:c r="H44" s="9" t="str">
        <x:v>暂缓</x:v>
      </x:c>
      <x:c r="I44" s="9" t="str"/>
      <x:c r="J44" s="9" t="str"/>
      <x:c r="K44" s="9" t="str"/>
      <x:c r="L44" s="40" t="str"/>
      <x:c r="M44" s="9" t="str"/>
      <x:c r="N44" s="9" t="str"/>
    </x:row>
    <x:row r="45" ht="48" customHeight="1">
      <x:c r="A45" s="9" t="str">
        <x:f>'岗位清单'!A44</x:f>
        <x:v>H006</x:v>
      </x:c>
      <x:c r="B45" s="9" t="str">
        <x:f>'岗位清单'!B44</x:f>
        <x:v>暂缓</x:v>
      </x:c>
      <x:c r="C45" s="9" t="str">
        <x:f>'岗位清单'!E44</x:f>
        <x:v>蚂蚁集团</x:v>
      </x:c>
      <x:c r="D45" s="9" t="str">
        <x:f>'岗位清单'!G44</x:f>
        <x:v>AI应用工程师</x:v>
      </x:c>
      <x:c r="E45" s="9" t="str">
        <x:f>'岗位清单'!H44</x:f>
        <x:v>成都</x:v>
      </x:c>
      <x:c r="F45" s="40"/>
      <x:c r="G45" s="9" t="str"/>
      <x:c r="H45" s="9" t="str">
        <x:v>暂缓</x:v>
      </x:c>
      <x:c r="I45" s="9" t="str"/>
      <x:c r="J45" s="9" t="str"/>
      <x:c r="K45" s="9" t="str"/>
      <x:c r="L45" s="40" t="str"/>
      <x:c r="M45" s="9" t="str"/>
      <x:c r="N45" s="9" t="str"/>
    </x:row>
    <x:row r="46" ht="48" customHeight="1">
      <x:c r="A46" s="9" t="str">
        <x:f>'岗位清单'!A45</x:f>
        <x:v>H005</x:v>
      </x:c>
      <x:c r="B46" s="9" t="str">
        <x:f>'岗位清单'!B45</x:f>
        <x:v>暂缓</x:v>
      </x:c>
      <x:c r="C46" s="9" t="str">
        <x:f>'岗位清单'!E45</x:f>
        <x:v>华为云</x:v>
      </x:c>
      <x:c r="D46" s="9" t="str">
        <x:f>'岗位清单'!G45</x:f>
        <x:v>AI Agent研发工程师</x:v>
      </x:c>
      <x:c r="E46" s="9" t="str">
        <x:f>'岗位清单'!H45</x:f>
        <x:v>北京</x:v>
      </x:c>
      <x:c r="F46" s="40"/>
      <x:c r="G46" s="9" t="str"/>
      <x:c r="H46" s="9" t="str">
        <x:v>暂缓</x:v>
      </x:c>
      <x:c r="I46" s="9" t="str"/>
      <x:c r="J46" s="9" t="str"/>
      <x:c r="K46" s="9" t="str"/>
      <x:c r="L46" s="40" t="str"/>
      <x:c r="M46" s="9" t="str"/>
      <x:c r="N46" s="9" t="str"/>
    </x:row>
    <x:row r="47" ht="48" customHeight="1">
      <x:c r="A47" s="9" t="str">
        <x:f>'岗位清单'!A46</x:f>
        <x:v>H008</x:v>
      </x:c>
      <x:c r="B47" s="9" t="str">
        <x:f>'岗位清单'!B46</x:f>
        <x:v>暂缓</x:v>
      </x:c>
      <x:c r="C47" s="9" t="str">
        <x:f>'岗位清单'!E46</x:f>
        <x:v>OPPO</x:v>
      </x:c>
      <x:c r="D47" s="9" t="str">
        <x:f>'岗位清单'!G46</x:f>
        <x:v>NLP算法专家</x:v>
      </x:c>
      <x:c r="E47" s="9" t="str">
        <x:f>'岗位清单'!H46</x:f>
        <x:v>深圳</x:v>
      </x:c>
      <x:c r="F47" s="40"/>
      <x:c r="G47" s="9" t="str"/>
      <x:c r="H47" s="9" t="str">
        <x:v>暂缓</x:v>
      </x:c>
      <x:c r="I47" s="9" t="str"/>
      <x:c r="J47" s="9" t="str"/>
      <x:c r="K47" s="9" t="str"/>
      <x:c r="L47" s="40" t="str"/>
      <x:c r="M47" s="9" t="str"/>
      <x:c r="N47" s="9" t="str"/>
    </x:row>
  </x:sheetData>
  <x:mergeCells>
    <x:mergeCell ref="A1:N1"/>
    <x:mergeCell ref="A2:N2"/>
  </x:mergeCells>
  <x:conditionalFormatting sqref="H5:H47">
    <x:cfRule type="containsText" dxfId="7" priority="1" operator="containsText" text="已投递"/>
    <x:cfRule type="containsText" dxfId="8" priority="2" operator="containsText" text="待本人"/>
  </x:conditionalFormatting>
  <x:dataValidations count="4">
    <x:dataValidation type="list" sqref="G5:G47">
      <x:formula1>"官网,邮件,内推,猎头,招聘平台,其他"</x:formula1>
    </x:dataValidation>
    <x:dataValidation type="list" sqref="H5:H47">
      <x:formula1>"待投,待本人继续,待本人确认,待本人手工,已投递,一面,二面,HR面,Offer,拒绝,暂停招聘,暂缓"</x:formula1>
    </x:dataValidation>
    <x:dataValidation type="list" sqref="I5:I47">
      <x:formula1>",笔试,一面,二面,三面,HR面,终面"</x:formula1>
    </x:dataValidation>
    <x:dataValidation type="list" sqref="M5:M47">
      <x:formula1>"中文MT版,Agent平台版,RAG应用版,AI全栈版"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299e07ec194071"/>
  </x:tableParts>
</x:worksheet>
</file>