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b3d6302f0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2ed2747e5544af1"/>
    <x:sheet xmlns:r="http://schemas.openxmlformats.org/officeDocument/2006/relationships" name="优先投递" sheetId="2" r:id="R89ceadc74fdf43c6"/>
    <x:sheet xmlns:r="http://schemas.openxmlformats.org/officeDocument/2006/relationships" name="岗位清单" sheetId="3" r:id="R0d1144f4d2e24d40"/>
    <x:sheet xmlns:r="http://schemas.openxmlformats.org/officeDocument/2006/relationships" name="城市对比" sheetId="4" r:id="Re110515ca9184fd0"/>
    <x:sheet xmlns:r="http://schemas.openxmlformats.org/officeDocument/2006/relationships" name="评分规则" sheetId="5" r:id="Rbe9800df82624dc7"/>
    <x:sheet xmlns:r="http://schemas.openxmlformats.org/officeDocument/2006/relationships" name="投递作战" sheetId="6" r:id="R726a5b28980b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"/>
    <x:numFmt numFmtId="203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0"/>
      <x:color rgb="FFFFFFFF"/>
      <x:name val="Aptos"/>
    </x:font>
    <x:font>
      <x:i/>
      <x:sz val="11"/>
      <x:color rgb="FF8A4B08"/>
      <x:name val="Carlito"/>
    </x:font>
    <x:font>
      <x:b/>
      <x:sz val="9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1"/>
      <x:color rgb="FF16324F"/>
      <x:name val="Carlito"/>
    </x:font>
    <x:font>
      <x:b/>
      <x:sz val="12"/>
      <x:color rgb="FF16324F"/>
      <x:name val="Carlito"/>
    </x:font>
    <x:font>
      <x:b/>
      <x:sz val="12"/>
      <x:color rgb="FF0F766E"/>
      <x:name val="Carlito"/>
    </x:font>
    <x:font>
      <x:sz val="11"/>
      <x:color rgb="FF16324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BFF"/>
      </x:patternFill>
    </x:fill>
    <x:fill>
      <x:patternFill patternType="solid">
        <x:fgColor rgb="FFE6F4F1"/>
      </x:patternFill>
    </x:fill>
    <x:fill>
      <x:patternFill patternType="solid">
        <x:fgColor rgb="FFFFF7E6"/>
      </x:patternFill>
    </x:fill>
    <x:fill>
      <x:patternFill patternType="solid">
        <x:fgColor rgb="FFFFFDF5"/>
      </x:patternFill>
    </x:fill>
    <x:fill>
      <x:patternFill patternType="solid">
        <x:fgColor rgb="FFF1F6FF"/>
      </x:patternFill>
    </x:fill>
    <x:fill>
      <x:patternFill patternType="solid">
        <x:fgColor rgb="FFF7FBF9"/>
      </x:patternFill>
    </x:fill>
    <x:fill>
      <x:patternFill patternType="solid">
        <x:fgColor rgb="FFEAF1FF"/>
      </x:patternFill>
    </x:fill>
    <x:fill>
      <x:patternFill patternType="solid">
        <x:fgColor rgb="FFF7FBFF"/>
      </x:patternFill>
    </x:fill>
  </x:fills>
  <x:borders count="13">
    <x:border/>
    <x:border>
      <x:left style="thin">
        <x:color rgb="FFB9C4D2"/>
      </x:left>
      <x:top style="thin">
        <x:color rgb="FFB9C4D2"/>
      </x:top>
    </x:border>
    <x:border>
      <x:top style="thin">
        <x:color rgb="FFB9C4D2"/>
      </x:top>
    </x:border>
    <x:border>
      <x:right style="thin">
        <x:color rgb="FFB9C4D2"/>
      </x:right>
      <x:top style="thin">
        <x:color rgb="FFB9C4D2"/>
      </x:top>
    </x:border>
    <x:border>
      <x:left style="thin">
        <x:color rgb="FFB9C4D2"/>
      </x:left>
    </x:border>
    <x:border>
      <x:right style="thin">
        <x:color rgb="FFB9C4D2"/>
      </x:right>
    </x:border>
    <x:border>
      <x:left style="thin">
        <x:color rgb="FFB9C4D2"/>
      </x:left>
      <x:bottom style="thin">
        <x:color rgb="FFB9C4D2"/>
      </x:bottom>
    </x:border>
    <x:border>
      <x:bottom style="thin">
        <x:color rgb="FFB9C4D2"/>
      </x:bottom>
    </x:border>
    <x:border>
      <x:right style="thin">
        <x:color rgb="FFB9C4D2"/>
      </x:right>
      <x:bottom style="thin">
        <x:color rgb="FFB9C4D2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  <x:bottom style="thin">
        <x:color rgb="FFB9C4D2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  <x:xf numFmtId="203" fontId="8" fillId="0" borderId="0" xfId="0" applyNumberFormat="1" applyFont="1" applyFill="1" applyBorder="1" applyAlignment="1">
      <x:alignment vertical="top"/>
    </x:xf>
    <x:xf numFmtId="0" fontId="7" fillId="3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top"/>
    </x:xf>
    <x:xf numFmtId="201" fontId="8" fillId="0" borderId="10" xfId="0" applyNumberFormat="1" applyFont="1" applyFill="1" applyBorder="1" applyAlignment="1">
      <x:alignment vertical="top"/>
    </x:xf>
    <x:xf numFmtId="202" fontId="8" fillId="0" borderId="10" xfId="0" applyNumberFormat="1" applyFont="1" applyFill="1" applyBorder="1" applyAlignment="1">
      <x:alignment vertical="top"/>
    </x:xf>
    <x:xf numFmtId="203" fontId="8" fillId="0" borderId="10" xfId="0" applyNumberFormat="1" applyFont="1" applyFill="1" applyBorder="1" applyAlignment="1">
      <x:alignment vertical="top"/>
    </x:xf>
    <x:xf numFmtId="0" fontId="8" fillId="0" borderId="11" xfId="0" applyNumberFormat="1" applyFont="1" applyFill="1" applyBorder="1" applyAlignment="1">
      <x:alignment vertical="top"/>
    </x:xf>
    <x:xf numFmtId="201" fontId="8" fillId="0" borderId="11" xfId="0" applyNumberFormat="1" applyFont="1" applyFill="1" applyBorder="1" applyAlignment="1">
      <x:alignment vertical="top"/>
    </x:xf>
    <x:xf numFmtId="202" fontId="8" fillId="0" borderId="11" xfId="0" applyNumberFormat="1" applyFont="1" applyFill="1" applyBorder="1" applyAlignment="1">
      <x:alignment vertical="top"/>
    </x:xf>
    <x:xf numFmtId="203" fontId="8" fillId="0" borderId="11" xfId="0" applyNumberFormat="1" applyFont="1" applyFill="1" applyBorder="1" applyAlignment="1">
      <x:alignment vertical="top"/>
    </x:xf>
    <x:xf numFmtId="0" fontId="8" fillId="6" borderId="10" xfId="0" applyNumberFormat="1" applyFont="1" applyFill="1" applyBorder="1" applyAlignment="1">
      <x:alignment vertical="top"/>
    </x:xf>
    <x:xf numFmtId="202" fontId="8" fillId="6" borderId="10" xfId="0" applyNumberFormat="1" applyFont="1" applyFill="1" applyBorder="1" applyAlignment="1">
      <x:alignment vertical="top"/>
    </x:xf>
    <x:xf numFmtId="0" fontId="8" fillId="6" borderId="11" xfId="0" applyNumberFormat="1" applyFont="1" applyFill="1" applyBorder="1" applyAlignment="1">
      <x:alignment vertical="top"/>
    </x:xf>
    <x:xf numFmtId="202" fontId="8" fillId="6" borderId="11" xfId="0" applyNumberFormat="1" applyFont="1" applyFill="1" applyBorder="1" applyAlignment="1">
      <x:alignment vertical="top"/>
    </x:xf>
    <x:xf numFmtId="203" fontId="8" fillId="7" borderId="10" xfId="0" applyNumberFormat="1" applyFont="1" applyFill="1" applyBorder="1" applyAlignment="1">
      <x:alignment vertical="top"/>
    </x:xf>
    <x:xf numFmtId="202" fontId="8" fillId="7" borderId="10" xfId="0" applyNumberFormat="1" applyFont="1" applyFill="1" applyBorder="1" applyAlignment="1">
      <x:alignment vertical="top"/>
    </x:xf>
    <x:xf numFmtId="0" fontId="8" fillId="7" borderId="10" xfId="0" applyNumberFormat="1" applyFont="1" applyFill="1" applyBorder="1" applyAlignment="1">
      <x:alignment vertical="top"/>
    </x:xf>
    <x:xf numFmtId="203" fontId="8" fillId="7" borderId="11" xfId="0" applyNumberFormat="1" applyFont="1" applyFill="1" applyBorder="1" applyAlignment="1">
      <x:alignment vertical="top"/>
    </x:xf>
    <x:xf numFmtId="202" fontId="8" fillId="7" borderId="11" xfId="0" applyNumberFormat="1" applyFont="1" applyFill="1" applyBorder="1" applyAlignment="1">
      <x:alignment vertical="top"/>
    </x:xf>
    <x:xf numFmtId="0" fontId="8" fillId="7" borderId="11" xfId="0" applyNumberFormat="1" applyFont="1" applyFill="1" applyBorder="1" applyAlignment="1">
      <x:alignment vertical="top"/>
    </x:xf>
    <x:xf numFmtId="0" fontId="8" fillId="8" borderId="10" xfId="0" applyNumberFormat="1" applyFont="1" applyFill="1" applyBorder="1" applyAlignment="1">
      <x:alignment vertical="top"/>
    </x:xf>
    <x:xf numFmtId="201" fontId="8" fillId="8" borderId="10" xfId="0" applyNumberFormat="1" applyFont="1" applyFill="1" applyBorder="1" applyAlignment="1">
      <x:alignment vertical="top"/>
    </x:xf>
    <x:xf numFmtId="0" fontId="8" fillId="8" borderId="11" xfId="0" applyNumberFormat="1" applyFont="1" applyFill="1" applyBorder="1" applyAlignment="1">
      <x:alignment vertical="top"/>
    </x:xf>
    <x:xf numFmtId="201" fontId="8" fillId="8" borderId="11" xfId="0" applyNumberFormat="1" applyFont="1" applyFill="1" applyBorder="1" applyAlignment="1">
      <x:alignment vertical="top"/>
    </x:xf>
    <x:xf numFmtId="0" fontId="8" fillId="0" borderId="10" xfId="0" applyNumberFormat="1" applyFont="1" applyFill="1" applyBorder="1" applyAlignment="1">
      <x:alignment vertical="top" wrapText="1"/>
    </x:xf>
    <x:xf numFmtId="201" fontId="8" fillId="0" borderId="10" xfId="0" applyNumberFormat="1" applyFont="1" applyFill="1" applyBorder="1" applyAlignment="1">
      <x:alignment vertical="top" wrapText="1"/>
    </x:xf>
    <x:xf numFmtId="0" fontId="8" fillId="6" borderId="10" xfId="0" applyNumberFormat="1" applyFont="1" applyFill="1" applyBorder="1" applyAlignment="1">
      <x:alignment vertical="top" wrapText="1"/>
    </x:xf>
    <x:xf numFmtId="202" fontId="8" fillId="6" borderId="10" xfId="0" applyNumberFormat="1" applyFont="1" applyFill="1" applyBorder="1" applyAlignment="1">
      <x:alignment vertical="top" wrapText="1"/>
    </x:xf>
    <x:xf numFmtId="203" fontId="8" fillId="7" borderId="10" xfId="0" applyNumberFormat="1" applyFont="1" applyFill="1" applyBorder="1" applyAlignment="1">
      <x:alignment vertical="top" wrapText="1"/>
    </x:xf>
    <x:xf numFmtId="202" fontId="8" fillId="7" borderId="10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8" borderId="10" xfId="0" applyNumberFormat="1" applyFont="1" applyFill="1" applyBorder="1" applyAlignment="1">
      <x:alignment vertical="top" wrapText="1"/>
    </x:xf>
    <x:xf numFmtId="201" fontId="8" fillId="8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201" fontId="8" fillId="0" borderId="11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vertical="top" wrapText="1"/>
    </x:xf>
    <x:xf numFmtId="202" fontId="8" fillId="6" borderId="11" xfId="0" applyNumberFormat="1" applyFont="1" applyFill="1" applyBorder="1" applyAlignment="1">
      <x:alignment vertical="top" wrapText="1"/>
    </x:xf>
    <x:xf numFmtId="203" fontId="8" fillId="7" borderId="11" xfId="0" applyNumberFormat="1" applyFont="1" applyFill="1" applyBorder="1" applyAlignment="1">
      <x:alignment vertical="top" wrapText="1"/>
    </x:xf>
    <x:xf numFmtId="202" fontId="8" fillId="7" borderId="11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8" borderId="11" xfId="0" applyNumberFormat="1" applyFont="1" applyFill="1" applyBorder="1" applyAlignment="1">
      <x:alignment vertical="top" wrapText="1"/>
    </x:xf>
    <x:xf numFmtId="201" fontId="8" fillId="8" borderId="1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E7D32"/>
      </x:font>
      <x:fill>
        <x:patternFill patternType="solid">
          <x:bgColor rgb="FFD8F3DC"/>
        </x:patternFill>
      </x:fill>
    </x:dxf>
    <x:dxf>
      <x:font>
        <x:b/>
        <x:color rgb="FF174EA6"/>
      </x:font>
      <x:fill>
        <x:patternFill patternType="solid">
          <x:bgColor rgb="FFDCE9FF"/>
        </x:patternFill>
      </x:fill>
    </x:dxf>
    <x:dxf>
      <x:font>
        <x:b/>
        <x:color rgb="FF8A4B08"/>
      </x:font>
      <x:fill>
        <x:patternFill patternType="solid">
          <x:bgColor rgb="FFFFF1C2"/>
        </x:patternFill>
      </x:fill>
    </x:dxf>
    <x:dxf>
      <x:font>
        <x:b/>
        <x:color rgb="FFC2413B"/>
      </x:font>
      <x:fill>
        <x:patternFill patternType="solid">
          <x:bgColor rgb="FFFCE1DF"/>
        </x:patternFill>
      </x:fill>
    </x:dxf>
    <x:dxf>
      <x:font>
        <x:b/>
        <x:color rgb="FF2E7D32"/>
      </x:font>
      <x:fill>
        <x:patternFill patternType="solid">
          <x:bgColor rgb="FFD8F3DC"/>
        </x:patternFill>
      </x:fill>
    </x:dxf>
    <x:dxf>
      <x:font>
        <x:b/>
        <x:color rgb="FF174EA6"/>
      </x:font>
      <x:fill>
        <x:patternFill patternType="solid">
          <x:bgColor rgb="FFDCE9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d76a229e349ef" /><Relationship Type="http://schemas.openxmlformats.org/officeDocument/2006/relationships/theme" Target="/xl/theme/theme1.xml" Id="R5a490c8b8c5242a0" /><Relationship Type="http://schemas.openxmlformats.org/officeDocument/2006/relationships/sharedStrings" Target="/xl/sharedStrings.xml" Id="Rc85f3dbd26074fcf" /><Relationship Type="http://schemas.openxmlformats.org/officeDocument/2006/relationships/worksheet" Target="/xl/worksheets/sheet1.xml" Id="Rd2ed2747e5544af1" /><Relationship Type="http://schemas.openxmlformats.org/officeDocument/2006/relationships/worksheet" Target="/xl/worksheets/sheet2.xml" Id="R89ceadc74fdf43c6" /><Relationship Type="http://schemas.openxmlformats.org/officeDocument/2006/relationships/worksheet" Target="/xl/worksheets/sheet3.xml" Id="R0d1144f4d2e24d40" /><Relationship Type="http://schemas.openxmlformats.org/officeDocument/2006/relationships/worksheet" Target="/xl/worksheets/sheet4.xml" Id="Re110515ca9184fd0" /><Relationship Type="http://schemas.openxmlformats.org/officeDocument/2006/relationships/worksheet" Target="/xl/worksheets/sheet5.xml" Id="Rbe9800df82624dc7" /><Relationship Type="http://schemas.openxmlformats.org/officeDocument/2006/relationships/worksheet" Target="/xl/worksheets/sheet6.xml" Id="R726a5b28980b4841" /></Relationships>
</file>

<file path=xl/tables/table1.xml><?xml version="1.0" encoding="utf-8"?>
<x:table xmlns:x="http://schemas.openxmlformats.org/spreadsheetml/2006/main" id="1" name="JobsTable" displayName="JobsTable" ref="A3:AQ53" headerRowCount="1" totalsRowCount="0" totalsRowShown="0">
  <x:tableColumns count="43">
    <x:tableColumn id="1" name="岗位ID"/>
    <x:tableColumn id="2" name="城市"/>
    <x:tableColumn id="3" name="公司"/>
    <x:tableColumn id="4" name="部门/团队"/>
    <x:tableColumn id="5" name="岗位"/>
    <x:tableColumn id="6" name="招聘类型"/>
    <x:tableColumn id="7" name="用工/企业类型"/>
    <x:tableColumn id="8" name="发布时间"/>
    <x:tableColumn id="9" name="截止/时效"/>
    <x:tableColumn id="10" name="公开薪资"/>
    <x:tableColumn id="11" name="薪资下限"/>
    <x:tableColumn id="12" name="薪资上限"/>
    <x:tableColumn id="13" name="薪资单位"/>
    <x:tableColumn id="14" name="薪数"/>
    <x:tableColumn id="15" name="折算月薪中点(K)"/>
    <x:tableColumn id="16" name="粗算年包中点(万)"/>
    <x:tableColumn id="17" name="办公方式"/>
    <x:tableColumn id="18" name="工时公开信息"/>
    <x:tableColumn id="19" name="加班公开信息"/>
    <x:tableColumn id="20" name="工作要求摘要"/>
    <x:tableColumn id="21" name="匹配理由"/>
    <x:tableColumn id="22" name="主要缺口"/>
    <x:tableColumn id="23" name="投递入口"/>
    <x:tableColumn id="24" name="来源/详情"/>
    <x:tableColumn id="25" name="内推/推荐码"/>
    <x:tableColumn id="26" name="来源等级"/>
    <x:tableColumn id="27" name="核验日期"/>
    <x:tableColumn id="28" name="备注/风险"/>
    <x:tableColumn id="29" name="Agent工程"/>
    <x:tableColumn id="30" name="RAG检索"/>
    <x:tableColumn id="31" name="后端/全栈"/>
    <x:tableColumn id="32" name="MCP/工具"/>
    <x:tableColumn id="33" name="Eval/可观测"/>
    <x:tableColumn id="34" name="年限匹配"/>
    <x:tableColumn id="35" name="语言匹配"/>
    <x:tableColumn id="36" name="学历匹配"/>
    <x:tableColumn id="37" name="来源透明"/>
    <x:tableColumn id="38" name="匹配分"/>
    <x:tableColumn id="39" name="优先级"/>
    <x:tableColumn id="40" name="已投递?"/>
    <x:tableColumn id="41" name="进度"/>
    <x:tableColumn id="42" name="目标投递日"/>
    <x:tableColumn id="43" name="跟进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5fffe63f914a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0" t="str">
        <x:v>刘启仁｜AI Agent求职机会地图</x:v>
      </x:c>
      <x:c r="B1" s="20" t="str">
        <x:v>刘启仁｜AI Agent求职机会地图</x:v>
      </x:c>
      <x:c r="C1" s="20" t="str">
        <x:v>刘启仁｜AI Agent求职机会地图</x:v>
      </x:c>
      <x:c r="D1" s="20" t="str">
        <x:v>刘启仁｜AI Agent求职机会地图</x:v>
      </x:c>
      <x:c r="E1" s="20" t="str">
        <x:v>刘启仁｜AI Agent求职机会地图</x:v>
      </x:c>
      <x:c r="F1" s="20" t="str">
        <x:v>刘启仁｜AI Agent求职机会地图</x:v>
      </x:c>
      <x:c r="G1" s="20" t="str">
        <x:v>刘启仁｜AI Agent求职机会地图</x:v>
      </x:c>
      <x:c r="H1" s="20" t="str">
        <x:v>刘启仁｜AI Agent求职机会地图</x:v>
      </x:c>
    </x:row>
    <x:row r="3">
      <x:c r="A3" s="85" t="str">
        <x:v>目标城市：北京 / 上海 / 深圳 / 杭州 / 成都 / 苏州｜目标方向：Agent平台、RAG/检索、LLM应用后端、AI全栈｜核验日期：2026-08-26</x:v>
      </x:c>
      <x:c r="B3" s="85" t="str">
        <x:v>目标城市：北京 / 上海 / 深圳 / 杭州 / 成都 / 苏州｜目标方向：Agent平台、RAG/检索、LLM应用后端、AI全栈｜核验日期：2026-08-26</x:v>
      </x:c>
      <x:c r="C3" s="85" t="str">
        <x:v>目标城市：北京 / 上海 / 深圳 / 杭州 / 成都 / 苏州｜目标方向：Agent平台、RAG/检索、LLM应用后端、AI全栈｜核验日期：2026-08-26</x:v>
      </x:c>
      <x:c r="D3" s="85" t="str">
        <x:v>目标城市：北京 / 上海 / 深圳 / 杭州 / 成都 / 苏州｜目标方向：Agent平台、RAG/检索、LLM应用后端、AI全栈｜核验日期：2026-08-26</x:v>
      </x:c>
      <x:c r="E3" s="85" t="str">
        <x:v>目标城市：北京 / 上海 / 深圳 / 杭州 / 成都 / 苏州｜目标方向：Agent平台、RAG/检索、LLM应用后端、AI全栈｜核验日期：2026-08-26</x:v>
      </x:c>
      <x:c r="F3" s="85" t="str">
        <x:v>目标城市：北京 / 上海 / 深圳 / 杭州 / 成都 / 苏州｜目标方向：Agent平台、RAG/检索、LLM应用后端、AI全栈｜核验日期：2026-08-26</x:v>
      </x:c>
      <x:c r="G3" s="85" t="str">
        <x:v>目标城市：北京 / 上海 / 深圳 / 杭州 / 成都 / 苏州｜目标方向：Agent平台、RAG/检索、LLM应用后端、AI全栈｜核验日期：2026-08-26</x:v>
      </x:c>
      <x:c r="H3" s="85" t="str">
        <x:v>目标城市：北京 / 上海 / 深圳 / 杭州 / 成都 / 苏州｜目标方向：Agent平台、RAG/检索、LLM应用后端、AI全栈｜核验日期：2026-08-26</x:v>
      </x:c>
    </x:row>
    <x:row r="5" ht="24" customHeight="1">
      <x:c r="A5" s="87" t="str">
        <x:v>你的市场定位</x:v>
      </x:c>
      <x:c r="B5" s="87" t="str">
        <x:v>你的市场定位</x:v>
      </x:c>
      <x:c r="C5" s="87" t="str">
        <x:v>你的市场定位</x:v>
      </x:c>
      <x:c r="D5" s="87" t="str">
        <x:v>你的市场定位</x:v>
      </x:c>
      <x:c r="E5" s="87" t="str">
        <x:v>你的市场定位</x:v>
      </x:c>
      <x:c r="F5" s="87" t="str">
        <x:v>你的市场定位</x:v>
      </x:c>
      <x:c r="G5" s="87" t="str">
        <x:v>你的市场定位</x:v>
      </x:c>
      <x:c r="H5" s="87" t="str">
        <x:v>你的市场定位</x:v>
      </x:c>
    </x:row>
    <x:row r="6" ht="34" customHeight="1">
      <x:c r="A6" s="89" t="str">
        <x:v>一句话定位</x:v>
      </x:c>
      <x:c r="B6" s="19" t="str">
        <x:v>4年微软广告生产系统经验的 Agent/后端工程师：擅长把 RAG、工具调用、评测与可观测性做成可靠的生产链路。</x:v>
      </x:c>
      <x:c r="C6" s="19" t="str"/>
      <x:c r="D6" s="19" t="str"/>
      <x:c r="E6" s="19" t="str"/>
      <x:c r="F6" s="19" t="str"/>
      <x:c r="G6" s="19" t="str"/>
      <x:c r="H6" s="19" t="str"/>
    </x:row>
    <x:row r="7" ht="34" customHeight="1">
      <x:c r="A7" s="89" t="str">
        <x:v>最强证据</x:v>
      </x:c>
      <x:c r="B7" s="19" t="str">
        <x:v>Commit AI Resolver：Direct SHA + FTS5 + Dense + Multi-query + RRF，Evidence Gate，最多3轮有界重试，6个MCP工具，75-case Eval Harness。</x:v>
      </x:c>
      <x:c r="C7" s="19" t="str"/>
      <x:c r="D7" s="19" t="str"/>
      <x:c r="E7" s="19" t="str"/>
      <x:c r="F7" s="19" t="str"/>
      <x:c r="G7" s="19" t="str"/>
      <x:c r="H7" s="19" t="str"/>
    </x:row>
    <x:row r="8" ht="34" customHeight="1">
      <x:c r="A8" s="89" t="str">
        <x:v>差异化优势</x:v>
      </x:c>
      <x:c r="B8" s="19" t="str">
        <x:v>不仅会Prompt；你能回答“为什么检索到、何时拒答、如何评测、怎样上线与监控”。</x:v>
      </x:c>
      <x:c r="C8" s="19" t="str"/>
      <x:c r="D8" s="19" t="str"/>
      <x:c r="E8" s="19" t="str"/>
      <x:c r="F8" s="19" t="str"/>
      <x:c r="G8" s="19" t="str"/>
      <x:c r="H8" s="19" t="str"/>
    </x:row>
    <x:row r="9" ht="34" customHeight="1">
      <x:c r="A9" s="89" t="str">
        <x:v>优先岗位</x:v>
      </x:c>
      <x:c r="B9" s="19" t="str">
        <x:v>Agent Runtime / Agent Infra / RAG平台 / AI应用后端 / AI全栈；纯预训练、强化学习研究岗降权。</x:v>
      </x:c>
      <x:c r="C9" s="19" t="str"/>
      <x:c r="D9" s="19" t="str"/>
      <x:c r="E9" s="19" t="str"/>
      <x:c r="F9" s="19" t="str"/>
      <x:c r="G9" s="19" t="str"/>
      <x:c r="H9" s="19" t="str"/>
    </x:row>
    <x:row r="10" ht="34" customHeight="1">
      <x:c r="A10" s="89"/>
      <x:c r="B10" s="19"/>
      <x:c r="C10" s="19"/>
      <x:c r="D10" s="19"/>
      <x:c r="E10" s="19"/>
      <x:c r="F10" s="19"/>
      <x:c r="G10" s="19"/>
      <x:c r="H10" s="19"/>
    </x:row>
    <x:row r="11" ht="34" customHeight="1">
      <x:c r="A11" s="90" t="str">
        <x:v>先看哪几张表</x:v>
      </x:c>
      <x:c r="B11" s="88" t="str">
        <x:v>先看哪几张表</x:v>
      </x:c>
      <x:c r="C11" s="88" t="str">
        <x:v>先看哪几张表</x:v>
      </x:c>
      <x:c r="D11" s="88" t="str">
        <x:v>先看哪几张表</x:v>
      </x:c>
      <x:c r="E11" s="88" t="str">
        <x:v>先看哪几张表</x:v>
      </x:c>
      <x:c r="F11" s="88" t="str">
        <x:v>先看哪几张表</x:v>
      </x:c>
      <x:c r="G11" s="88" t="str">
        <x:v>先看哪几张表</x:v>
      </x:c>
      <x:c r="H11" s="88" t="str">
        <x:v>先看哪几张表</x:v>
      </x:c>
    </x:row>
    <x:row r="12" ht="34" customHeight="1">
      <x:c r="A12" s="89" t="str">
        <x:v>1</x:v>
      </x:c>
      <x:c r="B12" s="19" t="str">
        <x:v>优先投递：Top 15，适合本周立即行动。</x:v>
      </x:c>
      <x:c r="C12" s="19" t="str"/>
      <x:c r="D12" s="19" t="str"/>
      <x:c r="E12" s="19" t="str"/>
      <x:c r="F12" s="19" t="str"/>
      <x:c r="G12" s="19" t="str"/>
      <x:c r="H12" s="19" t="str"/>
    </x:row>
    <x:row r="13" ht="34" customHeight="1">
      <x:c r="A13" s="89" t="str">
        <x:v>2</x:v>
      </x:c>
      <x:c r="B13" s="19" t="str">
        <x:v>岗位清单：50条岗位，含薪资、远程、工时、加班、投递入口、来源、内推状态与匹配分。</x:v>
      </x:c>
      <x:c r="C13" s="19" t="str"/>
      <x:c r="D13" s="19" t="str"/>
      <x:c r="E13" s="19" t="str"/>
      <x:c r="F13" s="19" t="str"/>
      <x:c r="G13" s="19" t="str"/>
      <x:c r="H13" s="19" t="str"/>
    </x:row>
    <x:row r="14" ht="34" customHeight="1">
      <x:c r="A14" s="89" t="str">
        <x:v>3</x:v>
      </x:c>
      <x:c r="B14" s="19" t="str">
        <x:v>城市对比：基于本清单样本比较机会密度和公开薪资，不是全市场统计。</x:v>
      </x:c>
      <x:c r="C14" s="19" t="str"/>
      <x:c r="D14" s="19" t="str"/>
      <x:c r="E14" s="19" t="str"/>
      <x:c r="F14" s="19" t="str"/>
      <x:c r="G14" s="19" t="str"/>
      <x:c r="H14" s="19" t="str"/>
    </x:row>
    <x:row r="15" ht="34" customHeight="1">
      <x:c r="A15" s="89" t="str">
        <x:v>4</x:v>
      </x:c>
      <x:c r="B15" s="19" t="str">
        <x:v>评分规则：查看权重与为什么某岗位被排在前面。</x:v>
      </x:c>
      <x:c r="C15" s="19" t="str"/>
      <x:c r="D15" s="19" t="str"/>
      <x:c r="E15" s="19" t="str"/>
      <x:c r="F15" s="19" t="str"/>
      <x:c r="G15" s="19" t="str"/>
      <x:c r="H15" s="19" t="str"/>
    </x:row>
    <x:row r="16" ht="34" customHeight="1">
      <x:c r="A16" s="89" t="str">
        <x:v>5</x:v>
      </x:c>
      <x:c r="B16" s="19" t="str">
        <x:v>投递作战：三版简历、面试核验清单、两周节奏。</x:v>
      </x:c>
      <x:c r="C16" s="19" t="str"/>
      <x:c r="D16" s="19" t="str"/>
      <x:c r="E16" s="19" t="str"/>
      <x:c r="F16" s="19" t="str"/>
      <x:c r="G16" s="19" t="str"/>
      <x:c r="H16" s="19" t="str"/>
    </x:row>
    <x:row r="17" ht="34" customHeight="1">
      <x:c r="A17" s="89"/>
      <x:c r="B17" s="19"/>
      <x:c r="C17" s="19"/>
      <x:c r="D17" s="19"/>
      <x:c r="E17" s="19"/>
      <x:c r="F17" s="19"/>
      <x:c r="G17" s="19"/>
      <x:c r="H17" s="19"/>
    </x:row>
    <x:row r="18" ht="34" customHeight="1">
      <x:c r="A18" s="90" t="str">
        <x:v>数据边界与安全提醒</x:v>
      </x:c>
      <x:c r="B18" s="88" t="str">
        <x:v>数据边界与安全提醒</x:v>
      </x:c>
      <x:c r="C18" s="88" t="str">
        <x:v>数据边界与安全提醒</x:v>
      </x:c>
      <x:c r="D18" s="88" t="str">
        <x:v>数据边界与安全提醒</x:v>
      </x:c>
      <x:c r="E18" s="88" t="str">
        <x:v>数据边界与安全提醒</x:v>
      </x:c>
      <x:c r="F18" s="88" t="str">
        <x:v>数据边界与安全提醒</x:v>
      </x:c>
      <x:c r="G18" s="88" t="str">
        <x:v>数据边界与安全提醒</x:v>
      </x:c>
      <x:c r="H18" s="88" t="str">
        <x:v>数据边界与安全提醒</x:v>
      </x:c>
    </x:row>
    <x:row r="19" ht="34" customHeight="1">
      <x:c r="A19" s="89" t="str">
        <x:v>薪资</x:v>
      </x:c>
      <x:c r="B19" s="19" t="str">
        <x:v>只记录页面公开值；“未披露”不估算。年包折算不含股票、奖金、补贴。</x:v>
      </x:c>
      <x:c r="C19" s="19" t="str"/>
      <x:c r="D19" s="19" t="str"/>
      <x:c r="E19" s="19" t="str"/>
      <x:c r="F19" s="19" t="str"/>
      <x:c r="G19" s="19" t="str"/>
      <x:c r="H19" s="19" t="str"/>
    </x:row>
    <x:row r="20" ht="34" customHeight="1">
      <x:c r="A20" s="89" t="str">
        <x:v>远程/工时</x:v>
      </x:c>
      <x:c r="B20" s="19" t="str">
        <x:v>多数JD不公开。未披露≠不加班；也≠允许远程。只把明确的Hybrid/远程/固定工时写进表。</x:v>
      </x:c>
      <x:c r="C20" s="19" t="str"/>
      <x:c r="D20" s="19" t="str"/>
      <x:c r="E20" s="19" t="str"/>
      <x:c r="F20" s="19" t="str"/>
      <x:c r="G20" s="19" t="str"/>
      <x:c r="H20" s="19" t="str"/>
    </x:row>
    <x:row r="21" ht="34" customHeight="1">
      <x:c r="A21" s="89" t="str">
        <x:v>内推</x:v>
      </x:c>
      <x:c r="B21" s="19" t="str">
        <x:v>只记录公开渠道；第三方码/微信必须二次核验。任何收费内推都跳过。</x:v>
      </x:c>
      <x:c r="C21" s="19" t="str"/>
      <x:c r="D21" s="19" t="str"/>
      <x:c r="E21" s="19" t="str"/>
      <x:c r="F21" s="19" t="str"/>
      <x:c r="G21" s="19" t="str"/>
      <x:c r="H21" s="19" t="str"/>
    </x:row>
    <x:row r="22" ht="34" customHeight="1">
      <x:c r="A22" s="89" t="str">
        <x:v>来源等级</x:v>
      </x:c>
      <x:c r="B22" s="19" t="str">
        <x:v>A=官方直招/官网；B=主流招聘平台或有官方跳转的聚合；C=猎头未具名/项目制/资格待确认。</x:v>
      </x:c>
      <x:c r="C22" s="19" t="str"/>
      <x:c r="D22" s="19" t="str"/>
      <x:c r="E22" s="19" t="str"/>
      <x:c r="F22" s="19" t="str"/>
      <x:c r="G22" s="19" t="str"/>
      <x:c r="H22" s="19" t="str"/>
    </x:row>
    <x:row r="23" ht="34" customHeight="1">
      <x:c r="A23" s="89" t="str">
        <x:v>用工风险</x:v>
      </x:c>
      <x:c r="B23" s="19" t="str">
        <x:v>重点核验直招、外包、派遣、猎头代招、试用期、社保公积金主体与竞业条款。</x:v>
      </x:c>
      <x:c r="C23" s="19" t="str"/>
      <x:c r="D23" s="19" t="str"/>
      <x:c r="E23" s="19" t="str"/>
      <x:c r="F23" s="19" t="str"/>
      <x:c r="G23" s="19" t="str"/>
      <x:c r="H23" s="19" t="str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10" hidden="0" customWidth="1"/>
    <x:col min="4" max="4" width="12" hidden="0" customWidth="1"/>
    <x:col min="5" max="5" width="18" hidden="0" customWidth="1"/>
    <x:col min="6" max="6" width="30" hidden="0" customWidth="1"/>
    <x:col min="7" max="7" width="21" hidden="0" customWidth="1"/>
    <x:col min="8" max="8" width="22" hidden="0" customWidth="1"/>
    <x:col min="9" max="9" width="45" hidden="0" customWidth="1"/>
    <x:col min="10" max="10" width="40" hidden="0" customWidth="1"/>
    <x:col min="11" max="11" width="40" hidden="0" customWidth="1"/>
    <x:col min="12" max="12" width="26" hidden="0" customWidth="1"/>
  </x:cols>
  <x:sheetData>
    <x:row r="1" ht="34" customHeight="1">
      <x:c r="A1" s="3" t="str">
        <x:v>优先投递｜Top 15</x:v>
      </x:c>
      <x:c r="B1" s="3" t="str">
        <x:v>优先投递｜Top 15</x:v>
      </x:c>
      <x:c r="C1" s="3" t="str">
        <x:v>优先投递｜Top 15</x:v>
      </x:c>
      <x:c r="D1" s="3" t="str">
        <x:v>优先投递｜Top 15</x:v>
      </x:c>
      <x:c r="E1" s="3" t="str">
        <x:v>优先投递｜Top 15</x:v>
      </x:c>
      <x:c r="F1" s="3" t="str">
        <x:v>优先投递｜Top 15</x:v>
      </x:c>
      <x:c r="G1" s="3" t="str">
        <x:v>优先投递｜Top 15</x:v>
      </x:c>
      <x:c r="H1" s="3" t="str">
        <x:v>优先投递｜Top 15</x:v>
      </x:c>
      <x:c r="I1" s="3" t="str">
        <x:v>优先投递｜Top 15</x:v>
      </x:c>
      <x:c r="J1" s="3" t="str">
        <x:v>优先投递｜Top 15</x:v>
      </x:c>
      <x:c r="K1" s="3" t="str">
        <x:v>优先投递｜Top 15</x:v>
      </x:c>
      <x:c r="L1" s="3" t="str">
        <x:v>优先投递｜Top 15</x:v>
      </x:c>
    </x:row>
    <x:row r="3">
      <x:c r="A3" s="75" t="str">
        <x:v>岗位样本</x:v>
      </x:c>
      <x:c r="B3" s="75" t="n">
        <x:f>COUNTA('岗位清单'!$A$4:$A$53)</x:f>
        <x:v>50</x:v>
      </x:c>
      <x:c r="C3" s="75" t="str">
        <x:v>S/A级</x:v>
      </x:c>
      <x:c r="D3" s="75" t="n">
        <x:f>COUNTIF('岗位清单'!$AM$4:$AM$53,"S")+COUNTIF('岗位清单'!$AM$4:$AM$53,"A")</x:f>
        <x:v>40</x:v>
      </x:c>
      <x:c r="E3" s="75" t="str">
        <x:v>明确远程/Hybrid</x:v>
      </x:c>
      <x:c r="F3" s="75" t="n">
        <x:f>COUNTIF('岗位清单'!$Q$4:$Q$53,"Hybrid（官方JD明确）")+COUNTIF('岗位清单'!$Q$4:$Q$53,"部分岗位可远程（需确认该岗）")+COUNTIF('岗位清单'!$Q$4:$Q$53,"全国远程（项目制）")+COUNTIF('岗位清单'!$Q$4:$Q$53,"全远程（或北京/上海）")</x:f>
        <x:v>4</x:v>
      </x:c>
      <x:c r="G3" s="75" t="str">
        <x:v>公开薪资</x:v>
      </x:c>
      <x:c r="H3" s="75" t="n">
        <x:f>COUNTIF('岗位清单'!$M$4:$M$53,"K/月")+COUNTIF('岗位清单'!$M$4:$M$53,"万/年")+COUNTIF('岗位清单'!$M$4:$M$53,"元/日")</x:f>
        <x:v>20</x:v>
      </x:c>
      <x:c r="I3" s="75" t="str">
        <x:v>核验日期</x:v>
      </x:c>
      <x:c r="J3" s="76" t="n">
        <x:v>46260</x:v>
      </x:c>
    </x:row>
    <x:row r="4">
      <x:c r="A4"/>
      <x:c r="B4"/>
      <x:c r="C4"/>
      <x:c r="D4"/>
      <x:c r="E4"/>
      <x:c r="F4"/>
      <x:c r="G4"/>
      <x:c r="H4"/>
      <x:c r="I4"/>
      <x:c r="J4"/>
    </x:row>
    <x:row r="6">
      <x:c r="A6" s="80" t="str">
        <x:v>排名</x:v>
      </x:c>
      <x:c r="B6" s="80" t="str">
        <x:v>优先级</x:v>
      </x:c>
      <x:c r="C6" s="80" t="str">
        <x:v>匹配分</x:v>
      </x:c>
      <x:c r="D6" s="80" t="str">
        <x:v>城市</x:v>
      </x:c>
      <x:c r="E6" s="80" t="str">
        <x:v>公司</x:v>
      </x:c>
      <x:c r="F6" s="80" t="str">
        <x:v>岗位</x:v>
      </x:c>
      <x:c r="G6" s="80" t="str">
        <x:v>公开薪资</x:v>
      </x:c>
      <x:c r="H6" s="80" t="str">
        <x:v>办公方式</x:v>
      </x:c>
      <x:c r="I6" s="80" t="str">
        <x:v>匹配理由</x:v>
      </x:c>
      <x:c r="J6" s="80" t="str">
        <x:v>主要缺口</x:v>
      </x:c>
      <x:c r="K6" s="80" t="str">
        <x:v>投递入口</x:v>
      </x:c>
      <x:c r="L6" s="80" t="str">
        <x:v>时效</x:v>
      </x:c>
    </x:row>
    <x:row r="7" ht="58" customHeight="1">
      <x:c r="A7" s="81" t="n">
        <x:v>1</x:v>
      </x:c>
      <x:c r="B7" s="81" t="str">
        <x:f>'岗位清单'!AM4</x:f>
        <x:v>S</x:v>
      </x:c>
      <x:c r="C7" s="82" t="n">
        <x:f>'岗位清单'!AL4</x:f>
        <x:v>100</x:v>
      </x:c>
      <x:c r="D7" s="81" t="str">
        <x:f>'岗位清单'!B4</x:f>
        <x:v>杭州</x:v>
      </x:c>
      <x:c r="E7" s="81" t="str">
        <x:f>'岗位清单'!C4</x:f>
        <x:v>瓴羊 / 阿里云智能</x:v>
      </x:c>
      <x:c r="F7" s="81" t="str">
        <x:f>'岗位清单'!E4</x:f>
        <x:v>AI前沿部署工程师</x:v>
      </x:c>
      <x:c r="G7" s="81" t="str">
        <x:f>'岗位清单'!J4</x:f>
        <x:v>未披露</x:v>
      </x:c>
      <x:c r="H7" s="81" t="str">
        <x:f>'岗位清单'!Q4</x:f>
        <x:v>未披露</x:v>
      </x:c>
      <x:c r="I7" s="81" t="str">
        <x:f>'岗位清单'!U4</x:f>
        <x:v>年限与Agent/RAG/MCP/Eval/云原生几乎全中。</x:v>
      </x:c>
      <x:c r="J7" s="81" t="str">
        <x:f>'岗位清单'!V4</x:f>
        <x:v>岗位带客户现场交付；需准备面向业务价值的方案表达。</x:v>
      </x:c>
      <x:c r="K7" s="81" t="str">
        <x:f>'岗位清单'!W4</x:f>
        <x:v>https://careers.aliyun.com/off-campus/position-detail?positionId=100014063004</x:v>
      </x:c>
      <x:c r="L7" s="81" t="str">
        <x:f>'岗位清单'!I4</x:f>
        <x:v>页面在招；投递前再次确认</x:v>
      </x:c>
    </x:row>
    <x:row r="8" ht="58" customHeight="1">
      <x:c r="A8" s="81" t="n">
        <x:v>2</x:v>
      </x:c>
      <x:c r="B8" s="81" t="str">
        <x:f>'岗位清单'!AM5</x:f>
        <x:v>S</x:v>
      </x:c>
      <x:c r="C8" s="82" t="n">
        <x:f>'岗位清单'!AL5</x:f>
        <x:v>98.75</x:v>
      </x:c>
      <x:c r="D8" s="81" t="str">
        <x:f>'岗位清单'!B5</x:f>
        <x:v>深圳</x:v>
      </x:c>
      <x:c r="E8" s="81" t="str">
        <x:f>'岗位清单'!C5</x:f>
        <x:v>小米</x:v>
      </x:c>
      <x:c r="F8" s="81" t="str">
        <x:f>'岗位清单'!E5</x:f>
        <x:v>AI Agent开发工程师（A238670）</x:v>
      </x:c>
      <x:c r="G8" s="81" t="str">
        <x:f>'岗位清单'!J5</x:f>
        <x:v>未披露</x:v>
      </x:c>
      <x:c r="H8" s="81" t="str">
        <x:f>'岗位清单'!Q5</x:f>
        <x:v>未披露</x:v>
      </x:c>
      <x:c r="I8" s="81" t="str">
        <x:f>'岗位清单'!U5</x:f>
        <x:v>Commit检索、代码Agent、评测、RAG与工程稳定性几乎完全一致。</x:v>
      </x:c>
      <x:c r="J8" s="81" t="str">
        <x:f>'岗位清单'!V5</x:f>
        <x:v>职位详情来自第三方聚合，需在小米官网按职位ID A238670二次确认。</x:v>
      </x:c>
      <x:c r="K8" s="81" t="str">
        <x:f>'岗位清单'!W5</x:f>
        <x:v>https://hr.xiaomi.com/website/opportunities.html</x:v>
      </x:c>
      <x:c r="L8" s="81" t="str">
        <x:f>'岗位清单'!I5</x:f>
        <x:v>页面在招；投递前再次确认</x:v>
      </x:c>
    </x:row>
    <x:row r="9" ht="58" customHeight="1">
      <x:c r="A9" s="81" t="n">
        <x:v>3</x:v>
      </x:c>
      <x:c r="B9" s="81" t="str">
        <x:f>'岗位清单'!AM6</x:f>
        <x:v>S</x:v>
      </x:c>
      <x:c r="C9" s="82" t="n">
        <x:f>'岗位清单'!AL6</x:f>
        <x:v>97.5</x:v>
      </x:c>
      <x:c r="D9" s="81" t="str">
        <x:f>'岗位清单'!B6</x:f>
        <x:v>北京</x:v>
      </x:c>
      <x:c r="E9" s="81" t="str">
        <x:f>'岗位清单'!C6</x:f>
        <x:v>京东</x:v>
      </x:c>
      <x:c r="F9" s="81" t="str">
        <x:f>'岗位清单'!E6</x:f>
        <x:v>大模型应用算法/开发专家（Agent方向）</x:v>
      </x:c>
      <x:c r="G9" s="81" t="str">
        <x:f>'岗位清单'!J6</x:f>
        <x:v>未披露</x:v>
      </x:c>
      <x:c r="H9" s="81" t="str">
        <x:f>'岗位清单'!Q6</x:f>
        <x:v>未披露</x:v>
      </x:c>
      <x:c r="I9" s="81" t="str">
        <x:f>'岗位清单'!U6</x:f>
        <x:v>与你的混合检索、Evidence Gate、Evaluator、MCP、SSE、生产后端经历几乎逐项对应。</x:v>
      </x:c>
      <x:c r="J9" s="81" t="str">
        <x:f>'岗位清单'!V6</x:f>
        <x:v>专家岗可能追问平台级负责人深度；需补充 Python/Go 生产代码与规模数据。</x:v>
      </x:c>
      <x:c r="K9" s="81" t="str">
        <x:f>'岗位清单'!W6</x:f>
        <x:v>https://zhaopin.jd.com/web/job-info-detail?requementId=219681</x:v>
      </x:c>
      <x:c r="L9" s="81" t="str">
        <x:f>'岗位清单'!I6</x:f>
        <x:v>页面在招；投递前再次确认</x:v>
      </x:c>
    </x:row>
    <x:row r="10" ht="58" customHeight="1">
      <x:c r="A10" s="81" t="n">
        <x:v>4</x:v>
      </x:c>
      <x:c r="B10" s="81" t="str">
        <x:f>'岗位清单'!AM7</x:f>
        <x:v>S</x:v>
      </x:c>
      <x:c r="C10" s="82" t="n">
        <x:f>'岗位清单'!AL7</x:f>
        <x:v>97.5</x:v>
      </x:c>
      <x:c r="D10" s="81" t="str">
        <x:f>'岗位清单'!B7</x:f>
        <x:v>杭州</x:v>
      </x:c>
      <x:c r="E10" s="81" t="str">
        <x:f>'岗位清单'!C7</x:f>
        <x:v>阿里云智能</x:v>
      </x:c>
      <x:c r="F10" s="81" t="str">
        <x:f>'岗位清单'!E7</x:f>
        <x:v>AI Agent全栈开发工程师</x:v>
      </x:c>
      <x:c r="G10" s="81" t="str">
        <x:f>'岗位清单'!J7</x:f>
        <x:v>未披露</x:v>
      </x:c>
      <x:c r="H10" s="81" t="str">
        <x:f>'岗位清单'!Q7</x:f>
        <x:v>未披露</x:v>
      </x:c>
      <x:c r="I10" s="81" t="str">
        <x:f>'岗位清单'!U7</x:f>
        <x:v>Commit检索Agent、Eval、可观测与React/后端全栈直接匹配。</x:v>
      </x:c>
      <x:c r="J10" s="81" t="str">
        <x:f>'岗位清单'!V7</x:f>
        <x:v>需突出国际化协作与开源贡献；官方页面未披露明确年限。</x:v>
      </x:c>
      <x:c r="K10" s="81" t="str">
        <x:f>'岗位清单'!W7</x:f>
        <x:v>https://careers.aliyun.com/off-campus/position-detail?positionId=100007583015</x:v>
      </x:c>
      <x:c r="L10" s="81" t="str">
        <x:f>'岗位清单'!I7</x:f>
        <x:v>页面在招；投递前再次确认</x:v>
      </x:c>
    </x:row>
    <x:row r="11" ht="58" customHeight="1">
      <x:c r="A11" s="81" t="n">
        <x:v>5</x:v>
      </x:c>
      <x:c r="B11" s="81" t="str">
        <x:f>'岗位清单'!AM8</x:f>
        <x:v>S</x:v>
      </x:c>
      <x:c r="C11" s="82" t="n">
        <x:f>'岗位清单'!AL8</x:f>
        <x:v>97.5</x:v>
      </x:c>
      <x:c r="D11" s="81" t="str">
        <x:f>'岗位清单'!B8</x:f>
        <x:v>杭州</x:v>
      </x:c>
      <x:c r="E11" s="81" t="str">
        <x:f>'岗位清单'!C8</x:f>
        <x:v>字节跳动 / 火山引擎</x:v>
      </x:c>
      <x:c r="F11" s="81" t="str">
        <x:f>'岗位清单'!E8</x:f>
        <x:v>AI Agent应用开发工程师/架构师</x:v>
      </x:c>
      <x:c r="G11" s="81" t="str">
        <x:f>'岗位清单'!J8</x:f>
        <x:v>未披露</x:v>
      </x:c>
      <x:c r="H11" s="81" t="str">
        <x:f>'岗位清单'!Q8</x:f>
        <x:v>未披露</x:v>
      </x:c>
      <x:c r="I11" s="81" t="str">
        <x:f>'岗位清单'!U8</x:f>
        <x:v>年限、Agent全链路、混合检索与性能稳定性高度匹配。</x:v>
      </x:c>
      <x:c r="J11" s="81" t="str">
        <x:f>'岗位清单'!V8</x:f>
        <x:v>发布时间较早；投递前检查HC与级别。</x:v>
      </x:c>
      <x:c r="K11" s="81" t="str">
        <x:f>'岗位清单'!W8</x:f>
        <x:v>https://jobs.bytedance.com/experienced/position/7616302352991750453/detail</x:v>
      </x:c>
      <x:c r="L11" s="81" t="str">
        <x:f>'岗位清单'!I8</x:f>
        <x:v>页面在招；投递前再次确认</x:v>
      </x:c>
    </x:row>
    <x:row r="12" ht="58" customHeight="1">
      <x:c r="A12" s="81" t="n">
        <x:v>6</x:v>
      </x:c>
      <x:c r="B12" s="81" t="str">
        <x:f>'岗位清单'!AM9</x:f>
        <x:v>S</x:v>
      </x:c>
      <x:c r="C12" s="82" t="n">
        <x:f>'岗位清单'!AL9</x:f>
        <x:v>97.5</x:v>
      </x:c>
      <x:c r="D12" s="81" t="str">
        <x:f>'岗位清单'!B9</x:f>
        <x:v>上海</x:v>
      </x:c>
      <x:c r="E12" s="81" t="str">
        <x:f>'岗位清单'!C9</x:f>
        <x:v>埃森哲 Accenture</x:v>
      </x:c>
      <x:c r="F12" s="81" t="str">
        <x:f>'岗位清单'!E9</x:f>
        <x:v>AI 全栈工程师（AI Agent方向）</x:v>
      </x:c>
      <x:c r="G12" s="81" t="str">
        <x:f>'岗位清单'!J9</x:f>
        <x:v>未披露</x:v>
      </x:c>
      <x:c r="H12" s="81" t="str">
        <x:f>'岗位清单'!Q9</x:f>
        <x:v>Hybrid（官方JD明确）</x:v>
      </x:c>
      <x:c r="I12" s="81" t="str">
        <x:f>'岗位清单'!U9</x:f>
        <x:v>RAG检索、Agent编排、SSE和全栈经历高度匹配，且明确Hybrid。</x:v>
      </x:c>
      <x:c r="J12" s="81" t="str">
        <x:f>'岗位清单'!V9</x:f>
        <x:v>咨询交付可能需要客户沟通与多项目切换；补强 LangGraph/AgentScope 作品。</x:v>
      </x:c>
      <x:c r="K12" s="81" t="str">
        <x:f>'岗位清单'!W9</x:f>
        <x:v>https://accenture.wd103.myworkdayjobs.com/en-US/AccentureCareers/job/AI--AI-Agent--_14477302</x:v>
      </x:c>
      <x:c r="L12" s="81" t="str">
        <x:f>'岗位清单'!I9</x:f>
        <x:v>页面在招；投递前再次确认</x:v>
      </x:c>
    </x:row>
    <x:row r="13" ht="58" customHeight="1">
      <x:c r="A13" s="81" t="n">
        <x:v>7</x:v>
      </x:c>
      <x:c r="B13" s="81" t="str">
        <x:f>'岗位清单'!AM10</x:f>
        <x:v>S</x:v>
      </x:c>
      <x:c r="C13" s="82" t="n">
        <x:f>'岗位清单'!AL10</x:f>
        <x:v>97.5</x:v>
      </x:c>
      <x:c r="D13" s="81" t="str">
        <x:f>'岗位清单'!B10</x:f>
        <x:v>上海</x:v>
      </x:c>
      <x:c r="E13" s="81" t="str">
        <x:f>'岗位清单'!C10</x:f>
        <x:v>上海网洋智能</x:v>
      </x:c>
      <x:c r="F13" s="81" t="str">
        <x:f>'岗位清单'!E10</x:f>
        <x:v>人工智能工程师</x:v>
      </x:c>
      <x:c r="G13" s="81" t="str">
        <x:f>'岗位清单'!J10</x:f>
        <x:v>25–40K × 13/14薪</x:v>
      </x:c>
      <x:c r="H13" s="81" t="str">
        <x:f>'岗位清单'!Q10</x:f>
        <x:v>上海现场办公为主</x:v>
      </x:c>
      <x:c r="I13" s="81" t="str">
        <x:f>'岗位清单'!U10</x:f>
        <x:v>与你的Agent/RAG/MCP、后端和端到端交付高度一致，薪资透明。</x:v>
      </x:c>
      <x:c r="J13" s="81" t="str">
        <x:f>'岗位清单'!V10</x:f>
        <x:v>客户现场与工业交付属性；核验出差频率、团队规模与现金流。</x:v>
      </x:c>
      <x:c r="K13" s="81" t="str">
        <x:f>'岗位清单'!W10</x:f>
        <x:v>mailto:contact@netoceanai.com</x:v>
      </x:c>
      <x:c r="L13" s="81" t="str">
        <x:f>'岗位清单'!I10</x:f>
        <x:v>页面在招；投递前再次确认</x:v>
      </x:c>
    </x:row>
    <x:row r="14" ht="58" customHeight="1">
      <x:c r="A14" s="81" t="n">
        <x:v>8</x:v>
      </x:c>
      <x:c r="B14" s="81" t="str">
        <x:f>'岗位清单'!AM11</x:f>
        <x:v>S</x:v>
      </x:c>
      <x:c r="C14" s="82" t="n">
        <x:f>'岗位清单'!AL11</x:f>
        <x:v>96.25</x:v>
      </x:c>
      <x:c r="D14" s="81" t="str">
        <x:f>'岗位清单'!B11</x:f>
        <x:v>成都</x:v>
      </x:c>
      <x:c r="E14" s="81" t="str">
        <x:f>'岗位清单'!C11</x:f>
        <x:v>超图软件 SuperMap</x:v>
      </x:c>
      <x:c r="F14" s="81" t="str">
        <x:f>'岗位清单'!E11</x:f>
        <x:v>AI算法工程师（实际为Agent全栈）</x:v>
      </x:c>
      <x:c r="G14" s="81" t="str">
        <x:f>'岗位清单'!J11</x:f>
        <x:v>未披露</x:v>
      </x:c>
      <x:c r="H14" s="81" t="str">
        <x:f>'岗位清单'!Q11</x:f>
        <x:v>未披露</x:v>
      </x:c>
      <x:c r="I14" s="81" t="str">
        <x:f>'岗位清单'!U11</x:f>
        <x:v>C#后端+React+SSE+MCP+Agent全链路，简历几乎逐项对应。</x:v>
      </x:c>
      <x:c r="J14" s="81" t="str">
        <x:f>'岗位清单'!V11</x:f>
        <x:v>需补 FastAPI/Next.js 实战，确认职级与薪资。</x:v>
      </x:c>
      <x:c r="K14" s="81" t="str">
        <x:f>'岗位清单'!W11</x:f>
        <x:v>mailto:zhaopin@supermap.com</x:v>
      </x:c>
      <x:c r="L14" s="81" t="str">
        <x:f>'岗位清单'!I11</x:f>
        <x:v>页面在招；投递前再次确认</x:v>
      </x:c>
    </x:row>
    <x:row r="15" ht="58" customHeight="1">
      <x:c r="A15" s="81" t="n">
        <x:v>9</x:v>
      </x:c>
      <x:c r="B15" s="81" t="str">
        <x:f>'岗位清单'!AM12</x:f>
        <x:v>S</x:v>
      </x:c>
      <x:c r="C15" s="82" t="n">
        <x:f>'岗位清单'!AL12</x:f>
        <x:v>96.25</x:v>
      </x:c>
      <x:c r="D15" s="81" t="str">
        <x:f>'岗位清单'!B12</x:f>
        <x:v>成都</x:v>
      </x:c>
      <x:c r="E15" s="81" t="str">
        <x:f>'岗位清单'!C12</x:f>
        <x:v>成都运达科技</x:v>
      </x:c>
      <x:c r="F15" s="81" t="str">
        <x:f>'岗位清单'!E12</x:f>
        <x:v>大模型算法研发工程师</x:v>
      </x:c>
      <x:c r="G15" s="81" t="str">
        <x:f>'岗位清单'!J12</x:f>
        <x:v>12–18K/月</x:v>
      </x:c>
      <x:c r="H15" s="81" t="str">
        <x:f>'岗位清单'!Q12</x:f>
        <x:v>未披露</x:v>
      </x:c>
      <x:c r="I15" s="81" t="str">
        <x:f>'岗位清单'!U12</x:f>
        <x:v>RAG、Agent、评测/监控与高可用匹配。</x:v>
      </x:c>
      <x:c r="J15" s="81" t="str">
        <x:f>'岗位清单'!V12</x:f>
        <x:v>薪资偏低且微调要求较强；投递前确认是否为核心研发而非交付。</x:v>
      </x:c>
      <x:c r="K15" s="81" t="str">
        <x:f>'岗位清单'!W12</x:f>
        <x:v>https://m.yupao.com/zhaogong/379774320.html</x:v>
      </x:c>
      <x:c r="L15" s="81" t="str">
        <x:f>'岗位清单'!I12</x:f>
        <x:v>页面在招；投递前再次确认</x:v>
      </x:c>
    </x:row>
    <x:row r="16" ht="58" customHeight="1">
      <x:c r="A16" s="81" t="n">
        <x:v>10</x:v>
      </x:c>
      <x:c r="B16" s="81" t="str">
        <x:f>'岗位清单'!AM13</x:f>
        <x:v>S</x:v>
      </x:c>
      <x:c r="C16" s="82" t="n">
        <x:f>'岗位清单'!AL13</x:f>
        <x:v>95</x:v>
      </x:c>
      <x:c r="D16" s="81" t="str">
        <x:f>'岗位清单'!B13</x:f>
        <x:v>北京</x:v>
      </x:c>
      <x:c r="E16" s="81" t="str">
        <x:f>'岗位清单'!C13</x:f>
        <x:v>百度</x:v>
      </x:c>
      <x:c r="F16" s="81" t="str">
        <x:f>'岗位清单'!E13</x:f>
        <x:v>AI应用工程师（J101300）</x:v>
      </x:c>
      <x:c r="G16" s="81" t="str">
        <x:f>'岗位清单'!J13</x:f>
        <x:v>未披露</x:v>
      </x:c>
      <x:c r="H16" s="81" t="str">
        <x:f>'岗位清单'!Q13</x:f>
        <x:v>未披露</x:v>
      </x:c>
      <x:c r="I16" s="81" t="str">
        <x:f>'岗位清单'!U13</x:f>
        <x:v>年限、Agent工程、向量检索、企业流程集成、生产稳定性均匹配。</x:v>
      </x:c>
      <x:c r="J16" s="81" t="str">
        <x:f>'岗位清单'!V13</x:f>
        <x:v>岗位偏 Python/Go；简历需把 Python 实践与安全/权限边界写得更明确。</x:v>
      </x:c>
      <x:c r="K16" s="81" t="str">
        <x:f>'岗位清单'!W13</x:f>
        <x:v>https://talent.baidu.com/jobs/detail/SOCIAL/b286456b-922b-4ff3-9da0-0e8855443ba0</x:v>
      </x:c>
      <x:c r="L16" s="81" t="str">
        <x:f>'岗位清单'!I13</x:f>
        <x:v>页面在招；投递前再次确认</x:v>
      </x:c>
    </x:row>
    <x:row r="17" ht="58" customHeight="1">
      <x:c r="A17" s="81" t="n">
        <x:v>11</x:v>
      </x:c>
      <x:c r="B17" s="81" t="str">
        <x:f>'岗位清单'!AM14</x:f>
        <x:v>S</x:v>
      </x:c>
      <x:c r="C17" s="82" t="n">
        <x:f>'岗位清单'!AL14</x:f>
        <x:v>95</x:v>
      </x:c>
      <x:c r="D17" s="81" t="str">
        <x:f>'岗位清单'!B14</x:f>
        <x:v>北京</x:v>
      </x:c>
      <x:c r="E17" s="81" t="str">
        <x:f>'岗位清单'!C14</x:f>
        <x:v>字节跳动</x:v>
      </x:c>
      <x:c r="F17" s="81" t="str">
        <x:f>'岗位清单'!E14</x:f>
        <x:v>AI Agent后端开发工程师（AI垂直场景）</x:v>
      </x:c>
      <x:c r="G17" s="81" t="str">
        <x:f>'岗位清单'!J14</x:f>
        <x:v>未披露</x:v>
      </x:c>
      <x:c r="H17" s="81" t="str">
        <x:f>'岗位清单'!Q14</x:f>
        <x:v>未披露</x:v>
      </x:c>
      <x:c r="I17" s="81" t="str">
        <x:f>'岗位清单'!U14</x:f>
        <x:v>Agent、RAG、工程可靠性和高并发后端高度匹配。</x:v>
      </x:c>
      <x:c r="J17" s="81" t="str">
        <x:f>'岗位清单'!V14</x:f>
        <x:v>JD写5年以上，你为4年；把微软复杂系统负责人/490+生产合并量化到高级深度。</x:v>
      </x:c>
      <x:c r="K17" s="81" t="str">
        <x:f>'岗位清单'!W14</x:f>
        <x:v>https://jobs.bytedance.com/experienced/position/7636681993664874757/detail</x:v>
      </x:c>
      <x:c r="L17" s="81" t="str">
        <x:f>'岗位清单'!I14</x:f>
        <x:v>页面在招；投递前再次确认</x:v>
      </x:c>
    </x:row>
    <x:row r="18" ht="58" customHeight="1">
      <x:c r="A18" s="81" t="n">
        <x:v>12</x:v>
      </x:c>
      <x:c r="B18" s="81" t="str">
        <x:f>'岗位清单'!AM15</x:f>
        <x:v>S</x:v>
      </x:c>
      <x:c r="C18" s="82" t="n">
        <x:f>'岗位清单'!AL15</x:f>
        <x:v>95</x:v>
      </x:c>
      <x:c r="D18" s="81" t="str">
        <x:f>'岗位清单'!B15</x:f>
        <x:v>北京</x:v>
      </x:c>
      <x:c r="E18" s="81" t="str">
        <x:f>'岗位清单'!C15</x:f>
        <x:v>高德地图</x:v>
      </x:c>
      <x:c r="F18" s="81" t="str">
        <x:f>'岗位清单'!E15</x:f>
        <x:v>高级 AI 应用工程师</x:v>
      </x:c>
      <x:c r="G18" s="81" t="str">
        <x:f>'岗位清单'!J15</x:f>
        <x:v>未披露</x:v>
      </x:c>
      <x:c r="H18" s="81" t="str">
        <x:f>'岗位清单'!Q15</x:f>
        <x:v>未披露</x:v>
      </x:c>
      <x:c r="I18" s="81" t="str">
        <x:f>'岗位清单'!U15</x:f>
        <x:v>Evidence-first、拒答门禁、重试去陈旧、K8s 与系统性能优化非常对口。</x:v>
      </x:c>
      <x:c r="J18" s="81" t="str">
        <x:f>'岗位清单'!V15</x:f>
        <x:v>5年门槛略高；微调/RLHF与开源贡献不是强项。</x:v>
      </x:c>
      <x:c r="K18" s="81" t="str">
        <x:f>'岗位清单'!W15</x:f>
        <x:v>https://talent.amap.com/off-campus/position-detail?positionId=100012920005</x:v>
      </x:c>
      <x:c r="L18" s="81" t="str">
        <x:f>'岗位清单'!I15</x:f>
        <x:v>页面在招；投递前再次确认</x:v>
      </x:c>
    </x:row>
    <x:row r="19" ht="58" customHeight="1">
      <x:c r="A19" s="81" t="n">
        <x:v>13</x:v>
      </x:c>
      <x:c r="B19" s="81" t="str">
        <x:f>'岗位清单'!AM16</x:f>
        <x:v>S</x:v>
      </x:c>
      <x:c r="C19" s="82" t="n">
        <x:f>'岗位清单'!AL16</x:f>
        <x:v>95</x:v>
      </x:c>
      <x:c r="D19" s="81" t="str">
        <x:f>'岗位清单'!B16</x:f>
        <x:v>成都</x:v>
      </x:c>
      <x:c r="E19" s="81" t="str">
        <x:f>'岗位清单'!C16</x:f>
        <x:v>枢星数智科技</x:v>
      </x:c>
      <x:c r="F19" s="81" t="str">
        <x:f>'岗位清单'!E16</x:f>
        <x:v>大模型算法工程师（Agent应用）</x:v>
      </x:c>
      <x:c r="G19" s="81" t="str">
        <x:f>'岗位清单'!J16</x:f>
        <x:v>未披露</x:v>
      </x:c>
      <x:c r="H19" s="81" t="str">
        <x:f>'岗位清单'!Q16</x:f>
        <x:v>未披露</x:v>
      </x:c>
      <x:c r="I19" s="81" t="str">
        <x:f>'岗位清单'!U16</x:f>
        <x:v>Agent/RAG/工程化与年限高度匹配。</x:v>
      </x:c>
      <x:c r="J19" s="81" t="str">
        <x:f>'岗位清单'!V16</x:f>
        <x:v>医疗协议与医院系统经验缺失；核验公司规模、薪资和项目交付节奏。</x:v>
      </x:c>
      <x:c r="K19" s="81" t="str">
        <x:f>'岗位清单'!W16</x:f>
        <x:v>https://www.dubhedi.com/social-recruitment.html</x:v>
      </x:c>
      <x:c r="L19" s="81" t="str">
        <x:f>'岗位清单'!I16</x:f>
        <x:v>页面在招；投递前再次确认</x:v>
      </x:c>
    </x:row>
    <x:row r="20" ht="58" customHeight="1">
      <x:c r="A20" s="81" t="n">
        <x:v>14</x:v>
      </x:c>
      <x:c r="B20" s="81" t="str">
        <x:f>'岗位清单'!AM17</x:f>
        <x:v>S</x:v>
      </x:c>
      <x:c r="C20" s="82" t="n">
        <x:f>'岗位清单'!AL17</x:f>
        <x:v>95</x:v>
      </x:c>
      <x:c r="D20" s="81" t="str">
        <x:f>'岗位清单'!B17</x:f>
        <x:v>深圳</x:v>
      </x:c>
      <x:c r="E20" s="81" t="str">
        <x:f>'岗位清单'!C17</x:f>
        <x:v>字节跳动</x:v>
      </x:c>
      <x:c r="F20" s="81" t="str">
        <x:f>'岗位清单'!E17</x:f>
        <x:v>AI Agent后端开发工程师（AI垂直场景）</x:v>
      </x:c>
      <x:c r="G20" s="81" t="str">
        <x:f>'岗位清单'!J17</x:f>
        <x:v>未披露</x:v>
      </x:c>
      <x:c r="H20" s="81" t="str">
        <x:f>'岗位清单'!Q17</x:f>
        <x:v>未披露</x:v>
      </x:c>
      <x:c r="I20" s="81" t="str">
        <x:f>'岗位清单'!U17</x:f>
        <x:v>要求比北京同名高级岗更贴合你的4年经验，且Agent技能显著超出“了解”。</x:v>
      </x:c>
      <x:c r="J20" s="81" t="str">
        <x:f>'岗位清单'!V17</x:f>
        <x:v>需确认级别与成长空间，避免因JD偏初中级而倒挂。</x:v>
      </x:c>
      <x:c r="K20" s="81" t="str">
        <x:f>'岗位清单'!W17</x:f>
        <x:v>https://jobs.bytedance.com/experienced/position/7636694952900004101/detail</x:v>
      </x:c>
      <x:c r="L20" s="81" t="str">
        <x:f>'岗位清单'!I17</x:f>
        <x:v>页面在招；投递前再次确认</x:v>
      </x:c>
    </x:row>
    <x:row r="21" ht="58" customHeight="1">
      <x:c r="A21" s="83" t="n">
        <x:v>15</x:v>
      </x:c>
      <x:c r="B21" s="83" t="str">
        <x:f>'岗位清单'!AM18</x:f>
        <x:v>S</x:v>
      </x:c>
      <x:c r="C21" s="84" t="n">
        <x:f>'岗位清单'!AL18</x:f>
        <x:v>95</x:v>
      </x:c>
      <x:c r="D21" s="83" t="str">
        <x:f>'岗位清单'!B18</x:f>
        <x:v>深圳</x:v>
      </x:c>
      <x:c r="E21" s="83" t="str">
        <x:f>'岗位清单'!C18</x:f>
        <x:v>Morgan Philips代招</x:v>
      </x:c>
      <x:c r="F21" s="83" t="str">
        <x:f>'岗位清单'!E18</x:f>
        <x:v>AI大模型应用工程师（RAG与智能体）</x:v>
      </x:c>
      <x:c r="G21" s="83" t="str">
        <x:f>'岗位清单'!J18</x:f>
        <x:v>未披露</x:v>
      </x:c>
      <x:c r="H21" s="83" t="str">
        <x:f>'岗位清单'!Q18</x:f>
        <x:v>未披露</x:v>
      </x:c>
      <x:c r="I21" s="83" t="str">
        <x:f>'岗位清单'!U18</x:f>
        <x:v>年限、硕士、混合检索、评测与Agent架构完全贴合。</x:v>
      </x:c>
      <x:c r="J21" s="83" t="str">
        <x:f>'岗位清单'!V18</x:f>
        <x:v>客户公司与薪资未披露；岗位描述部分要求偏基础，需确认级别。</x:v>
      </x:c>
      <x:c r="K21" s="83" t="str">
        <x:f>'岗位清单'!W18</x:f>
        <x:v>https://jobs.morganphilips.cn/zh-cn/ai%E5%A4%A7%E6%A8%A1%E5%9E%8B%E5%BA%94%E7%94%A8%E5%B7%A5%E7%A8%8B%E5%B8%88-rag%E4%B8%8E%E6%99%BA%E8%83%BD%E4%BD%93%E6%96%B9%E5%90%91-shenzhen-153501/</x:v>
      </x:c>
      <x:c r="L21" s="83" t="str">
        <x:f>'岗位清单'!I18</x:f>
        <x:v>页面在招；投递前再次确认</x:v>
      </x:c>
    </x:row>
  </x:sheetData>
  <x:mergeCells>
    <x:mergeCell ref="A1:L1"/>
  </x:mergeCells>
  <x:conditionalFormatting sqref="B7:B21">
    <x:cfRule type="containsText" dxfId="4" priority="1" operator="containsText" text="S"/>
    <x:cfRule type="containsText" dxfId="5" priority="2" operator="containsText" text="A"/>
  </x:conditionalFormatting>
  <x:conditionalFormatting sqref="C7:C21">
    <x:cfRule type="dataBar" priority="3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{C9BA47CC-1887-E6B8-E451-D453908E277B}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9BA47CC-1887-E6B8-E451-D453908E277B}">
            <x14:dataBar gradient="1">
              <x14:cfvo type="min"/>
              <x14:cfvo type="max"/>
              <x14:fillColor rgb="FF2F6BFF"/>
            </x14:dataBar>
          </x14:cfRule>
          <xm:sqref>C7:C21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2" hidden="0" customWidth="1"/>
    <x:col min="5" max="5" width="31" hidden="0" customWidth="1"/>
    <x:col min="6" max="6" width="17" hidden="0" customWidth="1"/>
    <x:col min="7" max="7" width="25" hidden="0" customWidth="1"/>
    <x:col min="8" max="8" width="12" hidden="0" customWidth="1"/>
    <x:col min="9" max="9" width="28" hidden="0" customWidth="1"/>
    <x:col min="10" max="10" width="23" hidden="0" customWidth="1"/>
    <x:col min="11" max="11" width="10" hidden="0" customWidth="1"/>
    <x:col min="12" max="12" width="10" hidden="0" customWidth="1"/>
    <x:col min="13" max="13" width="10" hidden="0" customWidth="1"/>
    <x:col min="14" max="14" width="8" hidden="0" customWidth="1"/>
    <x:col min="15" max="15" width="15" hidden="0" customWidth="1"/>
    <x:col min="16" max="16" width="15" hidden="0" customWidth="1"/>
    <x:col min="17" max="17" width="23" hidden="0" customWidth="1"/>
    <x:col min="18" max="18" width="28" hidden="0" customWidth="1"/>
    <x:col min="19" max="19" width="34" hidden="0" customWidth="1"/>
    <x:col min="20" max="20" width="54" hidden="0" customWidth="1"/>
    <x:col min="21" max="21" width="48" hidden="0" customWidth="1"/>
    <x:col min="22" max="22" width="44" hidden="0" customWidth="1"/>
    <x:col min="23" max="23" width="42" hidden="0" customWidth="1"/>
    <x:col min="24" max="24" width="42" hidden="0" customWidth="1"/>
    <x:col min="25" max="25" width="38" hidden="0" customWidth="1"/>
    <x:col min="26" max="26" width="10" hidden="0" customWidth="1"/>
    <x:col min="27" max="27" width="12" hidden="0" customWidth="1"/>
    <x:col min="28" max="28" width="35" hidden="0" customWidth="1"/>
    <x:col min="29" max="29" width="10" hidden="0" customWidth="1"/>
    <x:col min="30" max="30" width="10" hidden="0" customWidth="1"/>
    <x:col min="31" max="31" width="11" hidden="0" customWidth="1"/>
    <x:col min="32" max="32" width="10" hidden="0" customWidth="1"/>
    <x:col min="33" max="33" width="12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9" hidden="0" customWidth="1"/>
    <x:col min="40" max="40" width="10" hidden="0" customWidth="1"/>
    <x:col min="41" max="41" width="12" hidden="0" customWidth="1"/>
    <x:col min="42" max="42" width="13" hidden="0" customWidth="1"/>
    <x:col min="43" max="43" width="30" hidden="0" customWidth="1"/>
  </x:cols>
  <x:sheetData>
    <x:row r="1" ht="34" customHeight="1">
      <x:c r="A1" s="3" t="str">
        <x:v>AI Agent / 大模型应用岗位清单｜核验日 2026-08-26</x:v>
      </x:c>
      <x:c r="B1" s="3" t="str">
        <x:v>AI Agent / 大模型应用岗位清单｜核验日 2026-08-26</x:v>
      </x:c>
      <x:c r="C1" s="3" t="str">
        <x:v>AI Agent / 大模型应用岗位清单｜核验日 2026-08-26</x:v>
      </x:c>
      <x:c r="D1" s="3" t="str">
        <x:v>AI Agent / 大模型应用岗位清单｜核验日 2026-08-26</x:v>
      </x:c>
      <x:c r="E1" s="3" t="str">
        <x:v>AI Agent / 大模型应用岗位清单｜核验日 2026-08-26</x:v>
      </x:c>
      <x:c r="F1" s="3" t="str">
        <x:v>AI Agent / 大模型应用岗位清单｜核验日 2026-08-26</x:v>
      </x:c>
      <x:c r="G1" s="3" t="str">
        <x:v>AI Agent / 大模型应用岗位清单｜核验日 2026-08-26</x:v>
      </x:c>
      <x:c r="H1" s="3" t="str">
        <x:v>AI Agent / 大模型应用岗位清单｜核验日 2026-08-26</x:v>
      </x:c>
      <x:c r="I1" s="3" t="str">
        <x:v>AI Agent / 大模型应用岗位清单｜核验日 2026-08-26</x:v>
      </x:c>
      <x:c r="J1" s="3" t="str">
        <x:v>AI Agent / 大模型应用岗位清单｜核验日 2026-08-26</x:v>
      </x:c>
      <x:c r="K1" s="3" t="str">
        <x:v>AI Agent / 大模型应用岗位清单｜核验日 2026-08-26</x:v>
      </x:c>
      <x:c r="L1" s="3" t="str">
        <x:v>AI Agent / 大模型应用岗位清单｜核验日 2026-08-26</x:v>
      </x:c>
      <x:c r="M1" s="3" t="str">
        <x:v>AI Agent / 大模型应用岗位清单｜核验日 2026-08-26</x:v>
      </x:c>
      <x:c r="N1" s="3" t="str">
        <x:v>AI Agent / 大模型应用岗位清单｜核验日 2026-08-26</x:v>
      </x:c>
      <x:c r="O1" s="3" t="str">
        <x:v>AI Agent / 大模型应用岗位清单｜核验日 2026-08-26</x:v>
      </x:c>
      <x:c r="P1" s="3" t="str">
        <x:v>AI Agent / 大模型应用岗位清单｜核验日 2026-08-26</x:v>
      </x:c>
      <x:c r="Q1" s="3" t="str">
        <x:v>AI Agent / 大模型应用岗位清单｜核验日 2026-08-26</x:v>
      </x:c>
      <x:c r="R1" s="3" t="str">
        <x:v>AI Agent / 大模型应用岗位清单｜核验日 2026-08-26</x:v>
      </x:c>
      <x:c r="S1" s="3" t="str">
        <x:v>AI Agent / 大模型应用岗位清单｜核验日 2026-08-26</x:v>
      </x:c>
      <x:c r="T1" s="3" t="str">
        <x:v>AI Agent / 大模型应用岗位清单｜核验日 2026-08-26</x:v>
      </x:c>
      <x:c r="U1" s="3" t="str">
        <x:v>AI Agent / 大模型应用岗位清单｜核验日 2026-08-26</x:v>
      </x:c>
      <x:c r="V1" s="3" t="str">
        <x:v>AI Agent / 大模型应用岗位清单｜核验日 2026-08-26</x:v>
      </x:c>
      <x:c r="W1" s="3" t="str">
        <x:v>AI Agent / 大模型应用岗位清单｜核验日 2026-08-26</x:v>
      </x:c>
      <x:c r="X1" s="3" t="str">
        <x:v>AI Agent / 大模型应用岗位清单｜核验日 2026-08-26</x:v>
      </x:c>
      <x:c r="Y1" s="3" t="str">
        <x:v>AI Agent / 大模型应用岗位清单｜核验日 2026-08-26</x:v>
      </x:c>
      <x:c r="Z1" s="3" t="str">
        <x:v>AI Agent / 大模型应用岗位清单｜核验日 2026-08-26</x:v>
      </x:c>
      <x:c r="AA1" s="3" t="str">
        <x:v>AI Agent / 大模型应用岗位清单｜核验日 2026-08-26</x:v>
      </x:c>
      <x:c r="AB1" s="3" t="str">
        <x:v>AI Agent / 大模型应用岗位清单｜核验日 2026-08-26</x:v>
      </x:c>
      <x:c r="AC1" s="3" t="str">
        <x:v>AI Agent / 大模型应用岗位清单｜核验日 2026-08-26</x:v>
      </x:c>
      <x:c r="AD1" s="3" t="str">
        <x:v>AI Agent / 大模型应用岗位清单｜核验日 2026-08-26</x:v>
      </x:c>
      <x:c r="AE1" s="3" t="str">
        <x:v>AI Agent / 大模型应用岗位清单｜核验日 2026-08-26</x:v>
      </x:c>
      <x:c r="AF1" s="3" t="str">
        <x:v>AI Agent / 大模型应用岗位清单｜核验日 2026-08-26</x:v>
      </x:c>
      <x:c r="AG1" s="3" t="str">
        <x:v>AI Agent / 大模型应用岗位清单｜核验日 2026-08-26</x:v>
      </x:c>
      <x:c r="AH1" s="3" t="str">
        <x:v>AI Agent / 大模型应用岗位清单｜核验日 2026-08-26</x:v>
      </x:c>
      <x:c r="AI1" s="3" t="str">
        <x:v>AI Agent / 大模型应用岗位清单｜核验日 2026-08-26</x:v>
      </x:c>
      <x:c r="AJ1" s="3" t="str">
        <x:v>AI Agent / 大模型应用岗位清单｜核验日 2026-08-26</x:v>
      </x:c>
      <x:c r="AK1" s="3" t="str">
        <x:v>AI Agent / 大模型应用岗位清单｜核验日 2026-08-26</x:v>
      </x:c>
      <x:c r="AL1" s="3" t="str">
        <x:v>AI Agent / 大模型应用岗位清单｜核验日 2026-08-26</x:v>
      </x:c>
      <x:c r="AM1" s="3" t="str">
        <x:v>AI Agent / 大模型应用岗位清单｜核验日 2026-08-26</x:v>
      </x:c>
      <x:c r="AN1" s="3" t="str">
        <x:v>AI Agent / 大模型应用岗位清单｜核验日 2026-08-26</x:v>
      </x:c>
      <x:c r="AO1" s="3" t="str">
        <x:v>AI Agent / 大模型应用岗位清单｜核验日 2026-08-26</x:v>
      </x:c>
      <x:c r="AP1" s="3" t="str">
        <x:v>AI Agent / 大模型应用岗位清单｜核验日 2026-08-26</x:v>
      </x:c>
      <x:c r="AQ1" s="3" t="str">
        <x:v>AI Agent / 大模型应用岗位清单｜核验日 2026-08-26</x:v>
      </x:c>
    </x:row>
    <x:row r="2">
      <x:c r="A2" s="23" t="str">
        <x:v>薪资、远程、工时、加班若无公开证据均保留为“未披露”；建议用筛选器按城市、优先级、用工类型与来源等级筛选。</x:v>
      </x:c>
      <x:c r="B2" s="23" t="str">
        <x:v>薪资、远程、工时、加班若无公开证据均保留为“未披露”；建议用筛选器按城市、优先级、用工类型与来源等级筛选。</x:v>
      </x:c>
      <x:c r="C2" s="23" t="str">
        <x:v>薪资、远程、工时、加班若无公开证据均保留为“未披露”；建议用筛选器按城市、优先级、用工类型与来源等级筛选。</x:v>
      </x:c>
      <x:c r="D2" s="23" t="str">
        <x:v>薪资、远程、工时、加班若无公开证据均保留为“未披露”；建议用筛选器按城市、优先级、用工类型与来源等级筛选。</x:v>
      </x:c>
      <x:c r="E2" s="23" t="str">
        <x:v>薪资、远程、工时、加班若无公开证据均保留为“未披露”；建议用筛选器按城市、优先级、用工类型与来源等级筛选。</x:v>
      </x:c>
      <x:c r="F2" s="23" t="str">
        <x:v>薪资、远程、工时、加班若无公开证据均保留为“未披露”；建议用筛选器按城市、优先级、用工类型与来源等级筛选。</x:v>
      </x:c>
      <x:c r="G2" s="23" t="str">
        <x:v>薪资、远程、工时、加班若无公开证据均保留为“未披露”；建议用筛选器按城市、优先级、用工类型与来源等级筛选。</x:v>
      </x:c>
      <x:c r="H2" s="23" t="str">
        <x:v>薪资、远程、工时、加班若无公开证据均保留为“未披露”；建议用筛选器按城市、优先级、用工类型与来源等级筛选。</x:v>
      </x:c>
      <x:c r="I2" s="23" t="str">
        <x:v>薪资、远程、工时、加班若无公开证据均保留为“未披露”；建议用筛选器按城市、优先级、用工类型与来源等级筛选。</x:v>
      </x:c>
      <x:c r="J2" s="23" t="str">
        <x:v>薪资、远程、工时、加班若无公开证据均保留为“未披露”；建议用筛选器按城市、优先级、用工类型与来源等级筛选。</x:v>
      </x:c>
      <x:c r="K2" s="23" t="str">
        <x:v>薪资、远程、工时、加班若无公开证据均保留为“未披露”；建议用筛选器按城市、优先级、用工类型与来源等级筛选。</x:v>
      </x:c>
      <x:c r="L2" s="23" t="str">
        <x:v>薪资、远程、工时、加班若无公开证据均保留为“未披露”；建议用筛选器按城市、优先级、用工类型与来源等级筛选。</x:v>
      </x:c>
      <x:c r="M2" s="23" t="str">
        <x:v>薪资、远程、工时、加班若无公开证据均保留为“未披露”；建议用筛选器按城市、优先级、用工类型与来源等级筛选。</x:v>
      </x:c>
      <x:c r="N2" s="23" t="str">
        <x:v>薪资、远程、工时、加班若无公开证据均保留为“未披露”；建议用筛选器按城市、优先级、用工类型与来源等级筛选。</x:v>
      </x:c>
      <x:c r="O2" s="23" t="str">
        <x:v>薪资、远程、工时、加班若无公开证据均保留为“未披露”；建议用筛选器按城市、优先级、用工类型与来源等级筛选。</x:v>
      </x:c>
      <x:c r="P2" s="23" t="str">
        <x:v>薪资、远程、工时、加班若无公开证据均保留为“未披露”；建议用筛选器按城市、优先级、用工类型与来源等级筛选。</x:v>
      </x:c>
      <x:c r="Q2" s="23" t="str">
        <x:v>薪资、远程、工时、加班若无公开证据均保留为“未披露”；建议用筛选器按城市、优先级、用工类型与来源等级筛选。</x:v>
      </x:c>
      <x:c r="R2" s="23" t="str">
        <x:v>薪资、远程、工时、加班若无公开证据均保留为“未披露”；建议用筛选器按城市、优先级、用工类型与来源等级筛选。</x:v>
      </x:c>
      <x:c r="S2" s="23" t="str">
        <x:v>薪资、远程、工时、加班若无公开证据均保留为“未披露”；建议用筛选器按城市、优先级、用工类型与来源等级筛选。</x:v>
      </x:c>
      <x:c r="T2" s="23" t="str">
        <x:v>薪资、远程、工时、加班若无公开证据均保留为“未披露”；建议用筛选器按城市、优先级、用工类型与来源等级筛选。</x:v>
      </x:c>
      <x:c r="U2" s="23" t="str">
        <x:v>薪资、远程、工时、加班若无公开证据均保留为“未披露”；建议用筛选器按城市、优先级、用工类型与来源等级筛选。</x:v>
      </x:c>
      <x:c r="V2" s="23" t="str">
        <x:v>薪资、远程、工时、加班若无公开证据均保留为“未披露”；建议用筛选器按城市、优先级、用工类型与来源等级筛选。</x:v>
      </x:c>
      <x:c r="W2" s="23" t="str">
        <x:v>薪资、远程、工时、加班若无公开证据均保留为“未披露”；建议用筛选器按城市、优先级、用工类型与来源等级筛选。</x:v>
      </x:c>
      <x:c r="X2" s="23" t="str">
        <x:v>薪资、远程、工时、加班若无公开证据均保留为“未披露”；建议用筛选器按城市、优先级、用工类型与来源等级筛选。</x:v>
      </x:c>
      <x:c r="Y2" s="23" t="str">
        <x:v>薪资、远程、工时、加班若无公开证据均保留为“未披露”；建议用筛选器按城市、优先级、用工类型与来源等级筛选。</x:v>
      </x:c>
      <x:c r="Z2" s="23" t="str">
        <x:v>薪资、远程、工时、加班若无公开证据均保留为“未披露”；建议用筛选器按城市、优先级、用工类型与来源等级筛选。</x:v>
      </x:c>
      <x:c r="AA2" s="23" t="str">
        <x:v>薪资、远程、工时、加班若无公开证据均保留为“未披露”；建议用筛选器按城市、优先级、用工类型与来源等级筛选。</x:v>
      </x:c>
      <x:c r="AB2" s="23" t="str">
        <x:v>薪资、远程、工时、加班若无公开证据均保留为“未披露”；建议用筛选器按城市、优先级、用工类型与来源等级筛选。</x:v>
      </x:c>
      <x:c r="AC2" s="23" t="str">
        <x:v>薪资、远程、工时、加班若无公开证据均保留为“未披露”；建议用筛选器按城市、优先级、用工类型与来源等级筛选。</x:v>
      </x:c>
      <x:c r="AD2" s="23" t="str">
        <x:v>薪资、远程、工时、加班若无公开证据均保留为“未披露”；建议用筛选器按城市、优先级、用工类型与来源等级筛选。</x:v>
      </x:c>
      <x:c r="AE2" s="23" t="str">
        <x:v>薪资、远程、工时、加班若无公开证据均保留为“未披露”；建议用筛选器按城市、优先级、用工类型与来源等级筛选。</x:v>
      </x:c>
      <x:c r="AF2" s="23" t="str">
        <x:v>薪资、远程、工时、加班若无公开证据均保留为“未披露”；建议用筛选器按城市、优先级、用工类型与来源等级筛选。</x:v>
      </x:c>
      <x:c r="AG2" s="23" t="str">
        <x:v>薪资、远程、工时、加班若无公开证据均保留为“未披露”；建议用筛选器按城市、优先级、用工类型与来源等级筛选。</x:v>
      </x:c>
      <x:c r="AH2" s="23" t="str">
        <x:v>薪资、远程、工时、加班若无公开证据均保留为“未披露”；建议用筛选器按城市、优先级、用工类型与来源等级筛选。</x:v>
      </x:c>
      <x:c r="AI2" s="23" t="str">
        <x:v>薪资、远程、工时、加班若无公开证据均保留为“未披露”；建议用筛选器按城市、优先级、用工类型与来源等级筛选。</x:v>
      </x:c>
      <x:c r="AJ2" s="23" t="str">
        <x:v>薪资、远程、工时、加班若无公开证据均保留为“未披露”；建议用筛选器按城市、优先级、用工类型与来源等级筛选。</x:v>
      </x:c>
      <x:c r="AK2" s="23" t="str">
        <x:v>薪资、远程、工时、加班若无公开证据均保留为“未披露”；建议用筛选器按城市、优先级、用工类型与来源等级筛选。</x:v>
      </x:c>
      <x:c r="AL2" s="23" t="str">
        <x:v>薪资、远程、工时、加班若无公开证据均保留为“未披露”；建议用筛选器按城市、优先级、用工类型与来源等级筛选。</x:v>
      </x:c>
      <x:c r="AM2" s="23" t="str">
        <x:v>薪资、远程、工时、加班若无公开证据均保留为“未披露”；建议用筛选器按城市、优先级、用工类型与来源等级筛选。</x:v>
      </x:c>
      <x:c r="AN2" s="23" t="str">
        <x:v>薪资、远程、工时、加班若无公开证据均保留为“未披露”；建议用筛选器按城市、优先级、用工类型与来源等级筛选。</x:v>
      </x:c>
      <x:c r="AO2" s="23" t="str">
        <x:v>薪资、远程、工时、加班若无公开证据均保留为“未披露”；建议用筛选器按城市、优先级、用工类型与来源等级筛选。</x:v>
      </x:c>
      <x:c r="AP2" s="23" t="str">
        <x:v>薪资、远程、工时、加班若无公开证据均保留为“未披露”；建议用筛选器按城市、优先级、用工类型与来源等级筛选。</x:v>
      </x:c>
      <x:c r="AQ2" s="23" t="str">
        <x:v>薪资、远程、工时、加班若无公开证据均保留为“未披露”；建议用筛选器按城市、优先级、用工类型与来源等级筛选。</x:v>
      </x:c>
    </x:row>
    <x:row r="3" ht="32" customHeight="1">
      <x:c r="A3" s="33" t="str">
        <x:v>岗位ID</x:v>
      </x:c>
      <x:c r="B3" s="33" t="str">
        <x:v>城市</x:v>
      </x:c>
      <x:c r="C3" s="33" t="str">
        <x:v>公司</x:v>
      </x:c>
      <x:c r="D3" s="33" t="str">
        <x:v>部门/团队</x:v>
      </x:c>
      <x:c r="E3" s="33" t="str">
        <x:v>岗位</x:v>
      </x:c>
      <x:c r="F3" s="33" t="str">
        <x:v>招聘类型</x:v>
      </x:c>
      <x:c r="G3" s="33" t="str">
        <x:v>用工/企业类型</x:v>
      </x:c>
      <x:c r="H3" s="33" t="str">
        <x:v>发布时间</x:v>
      </x:c>
      <x:c r="I3" s="33" t="str">
        <x:v>截止/时效</x:v>
      </x:c>
      <x:c r="J3" s="33" t="str">
        <x:v>公开薪资</x:v>
      </x:c>
      <x:c r="K3" s="33" t="str">
        <x:v>薪资下限</x:v>
      </x:c>
      <x:c r="L3" s="33" t="str">
        <x:v>薪资上限</x:v>
      </x:c>
      <x:c r="M3" s="33" t="str">
        <x:v>薪资单位</x:v>
      </x:c>
      <x:c r="N3" s="33" t="str">
        <x:v>薪数</x:v>
      </x:c>
      <x:c r="O3" s="33" t="str">
        <x:v>折算月薪中点(K)</x:v>
      </x:c>
      <x:c r="P3" s="33" t="str">
        <x:v>粗算年包中点(万)</x:v>
      </x:c>
      <x:c r="Q3" s="33" t="str">
        <x:v>办公方式</x:v>
      </x:c>
      <x:c r="R3" s="33" t="str">
        <x:v>工时公开信息</x:v>
      </x:c>
      <x:c r="S3" s="33" t="str">
        <x:v>加班公开信息</x:v>
      </x:c>
      <x:c r="T3" s="33" t="str">
        <x:v>工作要求摘要</x:v>
      </x:c>
      <x:c r="U3" s="33" t="str">
        <x:v>匹配理由</x:v>
      </x:c>
      <x:c r="V3" s="33" t="str">
        <x:v>主要缺口</x:v>
      </x:c>
      <x:c r="W3" s="33" t="str">
        <x:v>投递入口</x:v>
      </x:c>
      <x:c r="X3" s="33" t="str">
        <x:v>来源/详情</x:v>
      </x:c>
      <x:c r="Y3" s="33" t="str">
        <x:v>内推/推荐码</x:v>
      </x:c>
      <x:c r="Z3" s="33" t="str">
        <x:v>来源等级</x:v>
      </x:c>
      <x:c r="AA3" s="33" t="str">
        <x:v>核验日期</x:v>
      </x:c>
      <x:c r="AB3" s="33" t="str">
        <x:v>备注/风险</x:v>
      </x:c>
      <x:c r="AC3" s="33" t="str">
        <x:v>Agent工程</x:v>
      </x:c>
      <x:c r="AD3" s="33" t="str">
        <x:v>RAG检索</x:v>
      </x:c>
      <x:c r="AE3" s="33" t="str">
        <x:v>后端/全栈</x:v>
      </x:c>
      <x:c r="AF3" s="33" t="str">
        <x:v>MCP/工具</x:v>
      </x:c>
      <x:c r="AG3" s="33" t="str">
        <x:v>Eval/可观测</x:v>
      </x:c>
      <x:c r="AH3" s="33" t="str">
        <x:v>年限匹配</x:v>
      </x:c>
      <x:c r="AI3" s="33" t="str">
        <x:v>语言匹配</x:v>
      </x:c>
      <x:c r="AJ3" s="33" t="str">
        <x:v>学历匹配</x:v>
      </x:c>
      <x:c r="AK3" s="33" t="str">
        <x:v>来源透明</x:v>
      </x:c>
      <x:c r="AL3" s="33" t="str">
        <x:v>匹配分</x:v>
      </x:c>
      <x:c r="AM3" s="33" t="str">
        <x:v>优先级</x:v>
      </x:c>
      <x:c r="AN3" s="33" t="str">
        <x:v>已投递?</x:v>
      </x:c>
      <x:c r="AO3" s="33" t="str">
        <x:v>进度</x:v>
      </x:c>
      <x:c r="AP3" s="33" t="str">
        <x:v>目标投递日</x:v>
      </x:c>
      <x:c r="AQ3" s="33" t="str">
        <x:v>跟进备注</x:v>
      </x:c>
    </x:row>
    <x:row r="4" ht="66" customHeight="1">
      <x:c r="A4" s="56" t="str">
        <x:v>H002</x:v>
      </x:c>
      <x:c r="B4" s="56" t="str">
        <x:v>杭州</x:v>
      </x:c>
      <x:c r="C4" s="56" t="str">
        <x:v>瓴羊 / 阿里云智能</x:v>
      </x:c>
      <x:c r="D4" s="56" t="str">
        <x:v>AI前沿部署</x:v>
      </x:c>
      <x:c r="E4" s="56" t="str">
        <x:v>AI前沿部署工程师</x:v>
      </x:c>
      <x:c r="F4" s="56" t="str">
        <x:v>社招/全职</x:v>
      </x:c>
      <x:c r="G4" s="56" t="str">
        <x:v>公司直招</x:v>
      </x:c>
      <x:c r="H4" s="57" t="n">
        <x:v>46230</x:v>
      </x:c>
      <x:c r="I4" s="56" t="str">
        <x:v>页面在招；投递前再次确认</x:v>
      </x:c>
      <x:c r="J4" s="58" t="str">
        <x:v>未披露</x:v>
      </x:c>
      <x:c r="K4" s="59"/>
      <x:c r="L4" s="59"/>
      <x:c r="M4" s="58" t="str">
        <x:v>未披露</x:v>
      </x:c>
      <x:c r="N4" s="59"/>
      <x:c r="O4" s="59" t="str">
        <x:f>IF(M4="K/月",(K4+L4)/2,IF(M4="万/年",(K4+L4)*10/24,""))</x:f>
      </x:c>
      <x:c r="P4" s="59" t="str">
        <x:f>IF(M4="K/月",(K4+L4)*IF(N4&gt;0,N4,12)/20,IF(M4="万/年",(K4+L4)/2,""))</x:f>
      </x:c>
      <x:c r="Q4" s="56" t="str">
        <x:v>未披露</x:v>
      </x:c>
      <x:c r="R4" s="56" t="str">
        <x:v>未披露</x:v>
      </x:c>
      <x:c r="S4" s="56" t="str">
        <x:v>公开信息未披露</x:v>
      </x:c>
      <x:c r="T4" s="56" t="str">
        <x:v>2-6年；Agent平台架构、MCP/Tool Use、RAG/GraphRAG/混合检索、多Agent、评估监控与成本治理；Java/Python/Node。</x:v>
      </x:c>
      <x:c r="U4" s="56" t="str">
        <x:v>年限与Agent/RAG/MCP/Eval/云原生几乎全中。</x:v>
      </x:c>
      <x:c r="V4" s="56" t="str">
        <x:v>岗位带客户现场交付；需准备面向业务价值的方案表达。</x:v>
      </x:c>
      <x:c r="W4" s="56" t="str">
        <x:v>https://careers.aliyun.com/off-campus/position-detail?positionId=100014063004</x:v>
      </x:c>
      <x:c r="X4" s="56" t="str">
        <x:v>https://jobs.ultraai.site/jobs/aliyun/100014063004</x:v>
      </x:c>
      <x:c r="Y4" s="56" t="str">
        <x:v>职先机页面称可申请免费内推；无公开码，需核验</x:v>
      </x:c>
      <x:c r="Z4" s="56" t="str">
        <x:v>A</x:v>
      </x:c>
      <x:c r="AA4" s="57" t="n">
        <x:v>46260</x:v>
      </x:c>
      <x:c r="AB4" s="56" t="str"/>
      <x:c r="AC4" s="60" t="n">
        <x:v>1</x:v>
      </x:c>
      <x:c r="AD4" s="60" t="n">
        <x:v>1</x:v>
      </x:c>
      <x:c r="AE4" s="60" t="n">
        <x:v>1</x:v>
      </x:c>
      <x:c r="AF4" s="60" t="n">
        <x:v>1</x:v>
      </x:c>
      <x:c r="AG4" s="60" t="n">
        <x:v>1</x:v>
      </x:c>
      <x:c r="AH4" s="60" t="n">
        <x:v>1</x:v>
      </x:c>
      <x:c r="AI4" s="60" t="n">
        <x:v>1</x:v>
      </x:c>
      <x:c r="AJ4" s="60" t="n">
        <x:v>1</x:v>
      </x:c>
      <x:c r="AK4" s="60" t="n">
        <x:v>1</x:v>
      </x:c>
      <x:c r="AL4" s="61" t="n">
        <x:f>AC4*'评分规则'!$B$4+AD4*'评分规则'!$B$5+AE4*'评分规则'!$B$6+AF4*'评分规则'!$B$7+AG4*'评分规则'!$B$8+AH4*'评分规则'!$B$9+AI4*'评分规则'!$B$10+AJ4*'评分规则'!$B$11+AK4*'评分规则'!$B$12</x:f>
        <x:v>100</x:v>
      </x:c>
      <x:c r="AM4" s="62" t="str">
        <x:f>IF(AL4&gt;='评分规则'!$F$4,"S",IF(AL4&gt;='评分规则'!$F$5,"A",IF(AL4&gt;='评分规则'!$F$6,"B","C")))</x:f>
        <x:v>S</x:v>
      </x:c>
      <x:c r="AN4" s="63" t="str">
        <x:v>否</x:v>
      </x:c>
      <x:c r="AO4" s="63" t="str">
        <x:v>待投递</x:v>
      </x:c>
      <x:c r="AP4" s="64"/>
      <x:c r="AQ4" s="63" t="str"/>
    </x:row>
    <x:row r="5" ht="66" customHeight="1">
      <x:c r="A5" s="56" t="str">
        <x:v>SZ002</x:v>
      </x:c>
      <x:c r="B5" s="56" t="str">
        <x:v>深圳</x:v>
      </x:c>
      <x:c r="C5" s="56" t="str">
        <x:v>小米</x:v>
      </x:c>
      <x:c r="D5" s="56" t="str">
        <x:v>AI Agent开发平台 / AI Coding</x:v>
      </x:c>
      <x:c r="E5" s="56" t="str">
        <x:v>AI Agent开发工程师（A238670）</x:v>
      </x:c>
      <x:c r="F5" s="56" t="str">
        <x:v>社招/全职</x:v>
      </x:c>
      <x:c r="G5" s="56" t="str">
        <x:v>公司直招</x:v>
      </x:c>
      <x:c r="H5" s="57"/>
      <x:c r="I5" s="56" t="str">
        <x:v>页面在招；投递前再次确认</x:v>
      </x:c>
      <x:c r="J5" s="58" t="str">
        <x:v>未披露</x:v>
      </x:c>
      <x:c r="K5" s="59"/>
      <x:c r="L5" s="59"/>
      <x:c r="M5" s="58" t="str">
        <x:v>未披露</x:v>
      </x:c>
      <x:c r="N5" s="59"/>
      <x:c r="O5" s="59" t="str">
        <x:f>IF(M5="K/月",(K5+L5)/2,IF(M5="万/年",(K5+L5)*10/24,""))</x:f>
      </x:c>
      <x:c r="P5" s="59" t="str">
        <x:f>IF(M5="K/月",(K5+L5)*IF(N5&gt;0,N5,12)/20,IF(M5="万/年",(K5+L5)/2,""))</x:f>
      </x:c>
      <x:c r="Q5" s="56" t="str">
        <x:v>未披露</x:v>
      </x:c>
      <x:c r="R5" s="56" t="str">
        <x:v>未披露</x:v>
      </x:c>
      <x:c r="S5" s="56" t="str">
        <x:v>公开信息未披露</x:v>
      </x:c>
      <x:c r="T5" s="56" t="str">
        <x:v>3年以上；执行引擎、工具链、任务编排、多Agent、代码仓库级RAG、Bad Case与性能；LLM API。</x:v>
      </x:c>
      <x:c r="U5" s="56" t="str">
        <x:v>Commit检索、代码Agent、评测、RAG与工程稳定性几乎完全一致。</x:v>
      </x:c>
      <x:c r="V5" s="56" t="str">
        <x:v>职位详情来自第三方聚合，需在小米官网按职位ID A238670二次确认。</x:v>
      </x:c>
      <x:c r="W5" s="56" t="str">
        <x:v>https://hr.xiaomi.com/website/opportunities.html</x:v>
      </x:c>
      <x:c r="X5" s="56" t="str">
        <x:v>https://www.recruit.net/job/ai-agent-jobs/0A763EC2D10AD1DA</x:v>
      </x:c>
      <x:c r="Y5" s="56" t="str">
        <x:v>无可验证公开码</x:v>
      </x:c>
      <x:c r="Z5" s="56" t="str">
        <x:v>B</x:v>
      </x:c>
      <x:c r="AA5" s="57" t="n">
        <x:v>46260</x:v>
      </x:c>
      <x:c r="AB5" s="56" t="str"/>
      <x:c r="AC5" s="60" t="n">
        <x:v>1</x:v>
      </x:c>
      <x:c r="AD5" s="60" t="n">
        <x:v>1</x:v>
      </x:c>
      <x:c r="AE5" s="60" t="n">
        <x:v>1</x:v>
      </x:c>
      <x:c r="AF5" s="60" t="n">
        <x:v>1</x:v>
      </x:c>
      <x:c r="AG5" s="60" t="n">
        <x:v>1</x:v>
      </x:c>
      <x:c r="AH5" s="60" t="n">
        <x:v>1</x:v>
      </x:c>
      <x:c r="AI5" s="60" t="n">
        <x:v>1</x:v>
      </x:c>
      <x:c r="AJ5" s="60" t="n">
        <x:v>1</x:v>
      </x:c>
      <x:c r="AK5" s="60" t="n">
        <x:v>0.75</x:v>
      </x:c>
      <x:c r="AL5" s="61" t="n">
        <x:f>AC5*'评分规则'!$B$4+AD5*'评分规则'!$B$5+AE5*'评分规则'!$B$6+AF5*'评分规则'!$B$7+AG5*'评分规则'!$B$8+AH5*'评分规则'!$B$9+AI5*'评分规则'!$B$10+AJ5*'评分规则'!$B$11+AK5*'评分规则'!$B$12</x:f>
        <x:v>98.75</x:v>
      </x:c>
      <x:c r="AM5" s="62" t="str">
        <x:f>IF(AL5&gt;='评分规则'!$F$4,"S",IF(AL5&gt;='评分规则'!$F$5,"A",IF(AL5&gt;='评分规则'!$F$6,"B","C")))</x:f>
        <x:v>S</x:v>
      </x:c>
      <x:c r="AN5" s="63" t="str">
        <x:v>否</x:v>
      </x:c>
      <x:c r="AO5" s="63" t="str">
        <x:v>待投递</x:v>
      </x:c>
      <x:c r="AP5" s="64"/>
      <x:c r="AQ5" s="63" t="str"/>
    </x:row>
    <x:row r="6" ht="66" customHeight="1">
      <x:c r="A6" s="56" t="str">
        <x:v>B001</x:v>
      </x:c>
      <x:c r="B6" s="56" t="str">
        <x:v>北京</x:v>
      </x:c>
      <x:c r="C6" s="56" t="str">
        <x:v>京东</x:v>
      </x:c>
      <x:c r="D6" s="56" t="str">
        <x:v>国际化AI产品研发部</x:v>
      </x:c>
      <x:c r="E6" s="56" t="str">
        <x:v>大模型应用算法/开发专家（Agent方向）</x:v>
      </x:c>
      <x:c r="F6" s="56" t="str">
        <x:v>社招/全职</x:v>
      </x:c>
      <x:c r="G6" s="56" t="str">
        <x:v>公司直招</x:v>
      </x:c>
      <x:c r="H6" s="57" t="n">
        <x:v>46197</x:v>
      </x:c>
      <x:c r="I6" s="56" t="str">
        <x:v>页面在招；投递前再次确认</x:v>
      </x:c>
      <x:c r="J6" s="58" t="str">
        <x:v>未披露</x:v>
      </x:c>
      <x:c r="K6" s="59"/>
      <x:c r="L6" s="59"/>
      <x:c r="M6" s="58" t="str">
        <x:v>未披露</x:v>
      </x:c>
      <x:c r="N6" s="59"/>
      <x:c r="O6" s="59" t="str">
        <x:f>IF(M6="K/月",(K6+L6)/2,IF(M6="万/年",(K6+L6)*10/24,""))</x:f>
      </x:c>
      <x:c r="P6" s="59" t="str">
        <x:f>IF(M6="K/月",(K6+L6)*IF(N6&gt;0,N6,12)/20,IF(M6="万/年",(K6+L6)/2,""))</x:f>
      </x:c>
      <x:c r="Q6" s="56" t="str">
        <x:v>未披露</x:v>
      </x:c>
      <x:c r="R6" s="56" t="str">
        <x:v>未披露</x:v>
      </x:c>
      <x:c r="S6" s="56" t="str">
        <x:v>公开信息未披露</x:v>
      </x:c>
      <x:c r="T6" s="56" t="str">
        <x:v>Agent Runtime、模型网关、上下文/工具注册、RAG、Streaming、语义缓存、Eval、Trace/Metric/Log；高并发与稳定性。</x:v>
      </x:c>
      <x:c r="U6" s="56" t="str">
        <x:v>与你的混合检索、Evidence Gate、Evaluator、MCP、SSE、生产后端经历几乎逐项对应。</x:v>
      </x:c>
      <x:c r="V6" s="56" t="str">
        <x:v>专家岗可能追问平台级负责人深度；需补充 Python/Go 生产代码与规模数据。</x:v>
      </x:c>
      <x:c r="W6" s="56" t="str">
        <x:v>https://zhaopin.jd.com/web/job-info-detail?requementId=219681</x:v>
      </x:c>
      <x:c r="X6" s="56" t="str">
        <x:v>https://zhaopin.jd.com/web/job-info-detail?requementId=219681</x:v>
      </x:c>
      <x:c r="Y6" s="56" t="str">
        <x:v>无可验证公开码</x:v>
      </x:c>
      <x:c r="Z6" s="56" t="str">
        <x:v>A</x:v>
      </x:c>
      <x:c r="AA6" s="57" t="n">
        <x:v>46260</x:v>
      </x:c>
      <x:c r="AB6" s="56" t="str"/>
      <x:c r="AC6" s="60" t="n">
        <x:v>1</x:v>
      </x:c>
      <x:c r="AD6" s="60" t="n">
        <x:v>1</x:v>
      </x:c>
      <x:c r="AE6" s="60" t="n">
        <x:v>1</x:v>
      </x:c>
      <x:c r="AF6" s="60" t="n">
        <x:v>1</x:v>
      </x:c>
      <x:c r="AG6" s="60" t="n">
        <x:v>1</x:v>
      </x:c>
      <x:c r="AH6" s="60" t="n">
        <x:v>0.75</x:v>
      </x:c>
      <x:c r="AI6" s="60" t="n">
        <x:v>1</x:v>
      </x:c>
      <x:c r="AJ6" s="60" t="n">
        <x:v>1</x:v>
      </x:c>
      <x:c r="AK6" s="60" t="n">
        <x:v>1</x:v>
      </x:c>
      <x:c r="AL6" s="61" t="n">
        <x:f>AC6*'评分规则'!$B$4+AD6*'评分规则'!$B$5+AE6*'评分规则'!$B$6+AF6*'评分规则'!$B$7+AG6*'评分规则'!$B$8+AH6*'评分规则'!$B$9+AI6*'评分规则'!$B$10+AJ6*'评分规则'!$B$11+AK6*'评分规则'!$B$12</x:f>
        <x:v>97.5</x:v>
      </x:c>
      <x:c r="AM6" s="62" t="str">
        <x:f>IF(AL6&gt;='评分规则'!$F$4,"S",IF(AL6&gt;='评分规则'!$F$5,"A",IF(AL6&gt;='评分规则'!$F$6,"B","C")))</x:f>
        <x:v>S</x:v>
      </x:c>
      <x:c r="AN6" s="63" t="str">
        <x:v>否</x:v>
      </x:c>
      <x:c r="AO6" s="63" t="str">
        <x:v>待投递</x:v>
      </x:c>
      <x:c r="AP6" s="64"/>
      <x:c r="AQ6" s="63" t="str"/>
    </x:row>
    <x:row r="7" ht="66" customHeight="1">
      <x:c r="A7" s="56" t="str">
        <x:v>H003</x:v>
      </x:c>
      <x:c r="B7" s="56" t="str">
        <x:v>杭州</x:v>
      </x:c>
      <x:c r="C7" s="56" t="str">
        <x:v>阿里云智能</x:v>
      </x:c>
      <x:c r="D7" s="56" t="str">
        <x:v>秒悟</x:v>
      </x:c>
      <x:c r="E7" s="56" t="str">
        <x:v>AI Agent全栈开发工程师</x:v>
      </x:c>
      <x:c r="F7" s="56" t="str">
        <x:v>社招/全职</x:v>
      </x:c>
      <x:c r="G7" s="56" t="str">
        <x:v>公司直招</x:v>
      </x:c>
      <x:c r="H7" s="57" t="n">
        <x:v>46185</x:v>
      </x:c>
      <x:c r="I7" s="56" t="str">
        <x:v>页面在招；投递前再次确认</x:v>
      </x:c>
      <x:c r="J7" s="58" t="str">
        <x:v>未披露</x:v>
      </x:c>
      <x:c r="K7" s="59"/>
      <x:c r="L7" s="59"/>
      <x:c r="M7" s="58" t="str">
        <x:v>未披露</x:v>
      </x:c>
      <x:c r="N7" s="59"/>
      <x:c r="O7" s="59" t="str">
        <x:f>IF(M7="K/月",(K7+L7)/2,IF(M7="万/年",(K7+L7)*10/24,""))</x:f>
      </x:c>
      <x:c r="P7" s="59" t="str">
        <x:f>IF(M7="K/月",(K7+L7)*IF(N7&gt;0,N7,12)/20,IF(M7="万/年",(K7+L7)/2,""))</x:f>
      </x:c>
      <x:c r="Q7" s="56" t="str">
        <x:v>未披露</x:v>
      </x:c>
      <x:c r="R7" s="56" t="str">
        <x:v>未披露</x:v>
      </x:c>
      <x:c r="S7" s="56" t="str">
        <x:v>公开信息未披露</x:v>
      </x:c>
      <x:c r="T7" s="56" t="str">
        <x:v>AI Agent/代码生成/IDE插件；LangGraph、多Agent、RAG/Embedding、Langfuse/LangSmith、A/B测试、性能与大规模系统。</x:v>
      </x:c>
      <x:c r="U7" s="56" t="str">
        <x:v>Commit检索Agent、Eval、可观测与React/后端全栈直接匹配。</x:v>
      </x:c>
      <x:c r="V7" s="56" t="str">
        <x:v>需突出国际化协作与开源贡献；官方页面未披露明确年限。</x:v>
      </x:c>
      <x:c r="W7" s="56" t="str">
        <x:v>https://careers.aliyun.com/off-campus/position-detail?positionId=100007583015</x:v>
      </x:c>
      <x:c r="X7" s="56" t="str">
        <x:v>https://jobs.ultraai.site/jobs/aliyun/100007583015</x:v>
      </x:c>
      <x:c r="Y7" s="56" t="str">
        <x:v>无可验证公开码</x:v>
      </x:c>
      <x:c r="Z7" s="56" t="str">
        <x:v>A</x:v>
      </x:c>
      <x:c r="AA7" s="57" t="n">
        <x:v>46260</x:v>
      </x:c>
      <x:c r="AB7" s="56" t="str"/>
      <x:c r="AC7" s="60" t="n">
        <x:v>1</x:v>
      </x:c>
      <x:c r="AD7" s="60" t="n">
        <x:v>1</x:v>
      </x:c>
      <x:c r="AE7" s="60" t="n">
        <x:v>1</x:v>
      </x:c>
      <x:c r="AF7" s="60" t="n">
        <x:v>1</x:v>
      </x:c>
      <x:c r="AG7" s="60" t="n">
        <x:v>1</x:v>
      </x:c>
      <x:c r="AH7" s="60" t="n">
        <x:v>0.75</x:v>
      </x:c>
      <x:c r="AI7" s="60" t="n">
        <x:v>1</x:v>
      </x:c>
      <x:c r="AJ7" s="60" t="n">
        <x:v>1</x:v>
      </x:c>
      <x:c r="AK7" s="60" t="n">
        <x:v>1</x:v>
      </x:c>
      <x:c r="AL7" s="61" t="n">
        <x:f>AC7*'评分规则'!$B$4+AD7*'评分规则'!$B$5+AE7*'评分规则'!$B$6+AF7*'评分规则'!$B$7+AG7*'评分规则'!$B$8+AH7*'评分规则'!$B$9+AI7*'评分规则'!$B$10+AJ7*'评分规则'!$B$11+AK7*'评分规则'!$B$12</x:f>
        <x:v>97.5</x:v>
      </x:c>
      <x:c r="AM7" s="62" t="str">
        <x:f>IF(AL7&gt;='评分规则'!$F$4,"S",IF(AL7&gt;='评分规则'!$F$5,"A",IF(AL7&gt;='评分规则'!$F$6,"B","C")))</x:f>
        <x:v>S</x:v>
      </x:c>
      <x:c r="AN7" s="63" t="str">
        <x:v>否</x:v>
      </x:c>
      <x:c r="AO7" s="63" t="str">
        <x:v>待投递</x:v>
      </x:c>
      <x:c r="AP7" s="64"/>
      <x:c r="AQ7" s="63" t="str"/>
    </x:row>
    <x:row r="8" ht="66" customHeight="1">
      <x:c r="A8" s="56" t="str">
        <x:v>H004</x:v>
      </x:c>
      <x:c r="B8" s="56" t="str">
        <x:v>杭州</x:v>
      </x:c>
      <x:c r="C8" s="56" t="str">
        <x:v>字节跳动 / 火山引擎</x:v>
      </x:c>
      <x:c r="D8" s="56" t="str">
        <x:v>AI Agent应用</x:v>
      </x:c>
      <x:c r="E8" s="56" t="str">
        <x:v>AI Agent应用开发工程师/架构师</x:v>
      </x:c>
      <x:c r="F8" s="56" t="str">
        <x:v>社招/全职</x:v>
      </x:c>
      <x:c r="G8" s="56" t="str">
        <x:v>公司直招</x:v>
      </x:c>
      <x:c r="H8" s="57" t="n">
        <x:v>46093</x:v>
      </x:c>
      <x:c r="I8" s="56" t="str">
        <x:v>页面在招；投递前再次确认</x:v>
      </x:c>
      <x:c r="J8" s="58" t="str">
        <x:v>未披露</x:v>
      </x:c>
      <x:c r="K8" s="59"/>
      <x:c r="L8" s="59"/>
      <x:c r="M8" s="58" t="str">
        <x:v>未披露</x:v>
      </x:c>
      <x:c r="N8" s="59"/>
      <x:c r="O8" s="59" t="str">
        <x:f>IF(M8="K/月",(K8+L8)/2,IF(M8="万/年",(K8+L8)*10/24,""))</x:f>
      </x:c>
      <x:c r="P8" s="59" t="str">
        <x:f>IF(M8="K/月",(K8+L8)*IF(N8&gt;0,N8,12)/20,IF(M8="万/年",(K8+L8)/2,""))</x:f>
      </x:c>
      <x:c r="Q8" s="56" t="str">
        <x:v>未披露</x:v>
      </x:c>
      <x:c r="R8" s="56" t="str">
        <x:v>未披露</x:v>
      </x:c>
      <x:c r="S8" s="56" t="str">
        <x:v>公开信息未披露</x:v>
      </x:c>
      <x:c r="T8" s="56" t="str">
        <x:v>2年以上；Agent整体架构、大模型适配、记忆/知识/Skills、规划执行、性能/并发/容灾；Python/Go/Node。</x:v>
      </x:c>
      <x:c r="U8" s="56" t="str">
        <x:v>年限、Agent全链路、混合检索与性能稳定性高度匹配。</x:v>
      </x:c>
      <x:c r="V8" s="56" t="str">
        <x:v>发布时间较早；投递前检查HC与级别。</x:v>
      </x:c>
      <x:c r="W8" s="56" t="str">
        <x:v>https://jobs.bytedance.com/experienced/position/7616302352991750453/detail</x:v>
      </x:c>
      <x:c r="X8" s="56" t="str">
        <x:v>https://jobs.ultraai.site/jobs/bytedance/7616302352991750453</x:v>
      </x:c>
      <x:c r="Y8" s="56" t="str">
        <x:v>无可验证公开码</x:v>
      </x:c>
      <x:c r="Z8" s="56" t="str">
        <x:v>A</x:v>
      </x:c>
      <x:c r="AA8" s="57" t="n">
        <x:v>46260</x:v>
      </x:c>
      <x:c r="AB8" s="56" t="str"/>
      <x:c r="AC8" s="60" t="n">
        <x:v>1</x:v>
      </x:c>
      <x:c r="AD8" s="60" t="n">
        <x:v>1</x:v>
      </x:c>
      <x:c r="AE8" s="60" t="n">
        <x:v>1</x:v>
      </x:c>
      <x:c r="AF8" s="60" t="n">
        <x:v>1</x:v>
      </x:c>
      <x:c r="AG8" s="60" t="n">
        <x:v>0.75</x:v>
      </x:c>
      <x:c r="AH8" s="60" t="n">
        <x:v>1</x:v>
      </x:c>
      <x:c r="AI8" s="60" t="n">
        <x:v>1</x:v>
      </x:c>
      <x:c r="AJ8" s="60" t="n">
        <x:v>1</x:v>
      </x:c>
      <x:c r="AK8" s="60" t="n">
        <x:v>1</x:v>
      </x:c>
      <x:c r="AL8" s="61" t="n">
        <x:f>AC8*'评分规则'!$B$4+AD8*'评分规则'!$B$5+AE8*'评分规则'!$B$6+AF8*'评分规则'!$B$7+AG8*'评分规则'!$B$8+AH8*'评分规则'!$B$9+AI8*'评分规则'!$B$10+AJ8*'评分规则'!$B$11+AK8*'评分规则'!$B$12</x:f>
        <x:v>97.5</x:v>
      </x:c>
      <x:c r="AM8" s="62" t="str">
        <x:f>IF(AL8&gt;='评分规则'!$F$4,"S",IF(AL8&gt;='评分规则'!$F$5,"A",IF(AL8&gt;='评分规则'!$F$6,"B","C")))</x:f>
        <x:v>S</x:v>
      </x:c>
      <x:c r="AN8" s="63" t="str">
        <x:v>否</x:v>
      </x:c>
      <x:c r="AO8" s="63" t="str">
        <x:v>待投递</x:v>
      </x:c>
      <x:c r="AP8" s="64"/>
      <x:c r="AQ8" s="63" t="str"/>
    </x:row>
    <x:row r="9" ht="66" customHeight="1">
      <x:c r="A9" s="56" t="str">
        <x:v>S001</x:v>
      </x:c>
      <x:c r="B9" s="56" t="str">
        <x:v>上海</x:v>
      </x:c>
      <x:c r="C9" s="56" t="str">
        <x:v>埃森哲 Accenture</x:v>
      </x:c>
      <x:c r="D9" s="56" t="str">
        <x:v>AI全栈 / 咨询交付</x:v>
      </x:c>
      <x:c r="E9" s="56" t="str">
        <x:v>AI 全栈工程师（AI Agent方向）</x:v>
      </x:c>
      <x:c r="F9" s="56" t="str">
        <x:v>社招/全职</x:v>
      </x:c>
      <x:c r="G9" s="56" t="str">
        <x:v>公司直招</x:v>
      </x:c>
      <x:c r="H9" s="57"/>
      <x:c r="I9" s="56" t="str">
        <x:v>页面在招；投递前再次确认</x:v>
      </x:c>
      <x:c r="J9" s="58" t="str">
        <x:v>未披露</x:v>
      </x:c>
      <x:c r="K9" s="59"/>
      <x:c r="L9" s="59"/>
      <x:c r="M9" s="58" t="str">
        <x:v>未披露</x:v>
      </x:c>
      <x:c r="N9" s="59"/>
      <x:c r="O9" s="59" t="str">
        <x:f>IF(M9="K/月",(K9+L9)/2,IF(M9="万/年",(K9+L9)*10/24,""))</x:f>
      </x:c>
      <x:c r="P9" s="59" t="str">
        <x:f>IF(M9="K/月",(K9+L9)*IF(N9&gt;0,N9,12)/20,IF(M9="万/年",(K9+L9)/2,""))</x:f>
      </x:c>
      <x:c r="Q9" s="56" t="str">
        <x:v>Hybrid（官方JD明确）</x:v>
      </x:c>
      <x:c r="R9" s="56" t="str">
        <x:v>未披露</x:v>
      </x:c>
      <x:c r="S9" s="56" t="str">
        <x:v>公开信息未披露</x:v>
      </x:c>
      <x:c r="T9" s="56" t="str">
        <x:v>0-1 AI产品；LangGraph/LangChain/AgentScope/Google ADK；RAG全链路、多模型、流式输出、HITL。</x:v>
      </x:c>
      <x:c r="U9" s="56" t="str">
        <x:v>RAG检索、Agent编排、SSE和全栈经历高度匹配，且明确Hybrid。</x:v>
      </x:c>
      <x:c r="V9" s="56" t="str">
        <x:v>咨询交付可能需要客户沟通与多项目切换；补强 LangGraph/AgentScope 作品。</x:v>
      </x:c>
      <x:c r="W9" s="56" t="str">
        <x:v>https://accenture.wd103.myworkdayjobs.com/en-US/AccentureCareers/job/AI--AI-Agent--_14477302</x:v>
      </x:c>
      <x:c r="X9" s="56" t="str">
        <x:v>https://accenture.wd103.myworkdayjobs.com/en-US/AccentureCareers/job/AI--AI-Agent--_14477302</x:v>
      </x:c>
      <x:c r="Y9" s="56" t="str">
        <x:v>无可验证公开码</x:v>
      </x:c>
      <x:c r="Z9" s="56" t="str">
        <x:v>A</x:v>
      </x:c>
      <x:c r="AA9" s="57" t="n">
        <x:v>46260</x:v>
      </x:c>
      <x:c r="AB9" s="56" t="str"/>
      <x:c r="AC9" s="60" t="n">
        <x:v>1</x:v>
      </x:c>
      <x:c r="AD9" s="60" t="n">
        <x:v>1</x:v>
      </x:c>
      <x:c r="AE9" s="60" t="n">
        <x:v>1</x:v>
      </x:c>
      <x:c r="AF9" s="60" t="n">
        <x:v>1</x:v>
      </x:c>
      <x:c r="AG9" s="60" t="n">
        <x:v>0.75</x:v>
      </x:c>
      <x:c r="AH9" s="60" t="n">
        <x:v>1</x:v>
      </x:c>
      <x:c r="AI9" s="60" t="n">
        <x:v>1</x:v>
      </x:c>
      <x:c r="AJ9" s="60" t="n">
        <x:v>1</x:v>
      </x:c>
      <x:c r="AK9" s="60" t="n">
        <x:v>1</x:v>
      </x:c>
      <x:c r="AL9" s="61" t="n">
        <x:f>AC9*'评分规则'!$B$4+AD9*'评分规则'!$B$5+AE9*'评分规则'!$B$6+AF9*'评分规则'!$B$7+AG9*'评分规则'!$B$8+AH9*'评分规则'!$B$9+AI9*'评分规则'!$B$10+AJ9*'评分规则'!$B$11+AK9*'评分规则'!$B$12</x:f>
        <x:v>97.5</x:v>
      </x:c>
      <x:c r="AM9" s="62" t="str">
        <x:f>IF(AL9&gt;='评分规则'!$F$4,"S",IF(AL9&gt;='评分规则'!$F$5,"A",IF(AL9&gt;='评分规则'!$F$6,"B","C")))</x:f>
        <x:v>S</x:v>
      </x:c>
      <x:c r="AN9" s="63" t="str">
        <x:v>否</x:v>
      </x:c>
      <x:c r="AO9" s="63" t="str">
        <x:v>待投递</x:v>
      </x:c>
      <x:c r="AP9" s="64"/>
      <x:c r="AQ9" s="63" t="str"/>
    </x:row>
    <x:row r="10" ht="66" customHeight="1">
      <x:c r="A10" s="56" t="str">
        <x:v>S007</x:v>
      </x:c>
      <x:c r="B10" s="56" t="str">
        <x:v>上海</x:v>
      </x:c>
      <x:c r="C10" s="56" t="str">
        <x:v>上海网洋智能</x:v>
      </x:c>
      <x:c r="D10" s="56" t="str">
        <x:v>AI应用交付</x:v>
      </x:c>
      <x:c r="E10" s="56" t="str">
        <x:v>人工智能工程师</x:v>
      </x:c>
      <x:c r="F10" s="56" t="str">
        <x:v>社招/全职</x:v>
      </x:c>
      <x:c r="G10" s="56" t="str">
        <x:v>公司直招</x:v>
      </x:c>
      <x:c r="H10" s="57"/>
      <x:c r="I10" s="56" t="str">
        <x:v>页面在招；投递前再次确认</x:v>
      </x:c>
      <x:c r="J10" s="58" t="str">
        <x:v>25–40K × 13/14薪</x:v>
      </x:c>
      <x:c r="K10" s="59" t="n">
        <x:v>25</x:v>
      </x:c>
      <x:c r="L10" s="59" t="n">
        <x:v>40</x:v>
      </x:c>
      <x:c r="M10" s="58" t="str">
        <x:v>K/月</x:v>
      </x:c>
      <x:c r="N10" s="59" t="n">
        <x:v>13.5</x:v>
      </x:c>
      <x:c r="O10" s="59" t="n">
        <x:f>IF(M10="K/月",(K10+L10)/2,IF(M10="万/年",(K10+L10)*10/24,""))</x:f>
        <x:v>32.5</x:v>
      </x:c>
      <x:c r="P10" s="59" t="n">
        <x:f>IF(M10="K/月",(K10+L10)*IF(N10&gt;0,N10,12)/20,IF(M10="万/年",(K10+L10)/2,""))</x:f>
        <x:v>43.875</x:v>
      </x:c>
      <x:c r="Q10" s="56" t="str">
        <x:v>上海现场办公为主</x:v>
      </x:c>
      <x:c r="R10" s="56" t="str">
        <x:v>未披露</x:v>
      </x:c>
      <x:c r="S10" s="56" t="str">
        <x:v>公开信息未披露</x:v>
      </x:c>
      <x:c r="T10" s="56" t="str">
        <x:v>3年以上软件+1年以上LLM/Agent/RAG；LangChain/LangGraph、Multi-Agent、vLLM、MCP、Python；0-1交付。</x:v>
      </x:c>
      <x:c r="U10" s="56" t="str">
        <x:v>与你的Agent/RAG/MCP、后端和端到端交付高度一致，薪资透明。</x:v>
      </x:c>
      <x:c r="V10" s="56" t="str">
        <x:v>客户现场与工业交付属性；核验出差频率、团队规模与现金流。</x:v>
      </x:c>
      <x:c r="W10" s="56" t="str">
        <x:v>mailto:contact@netoceanai.com</x:v>
      </x:c>
      <x:c r="X10" s="56" t="str">
        <x:v>https://netoceanai.com.cn/</x:v>
      </x:c>
      <x:c r="Y10" s="56" t="str">
        <x:v>无可验证公开码</x:v>
      </x:c>
      <x:c r="Z10" s="56" t="str">
        <x:v>A</x:v>
      </x:c>
      <x:c r="AA10" s="57" t="n">
        <x:v>46260</x:v>
      </x:c>
      <x:c r="AB10" s="56" t="str"/>
      <x:c r="AC10" s="60" t="n">
        <x:v>1</x:v>
      </x:c>
      <x:c r="AD10" s="60" t="n">
        <x:v>1</x:v>
      </x:c>
      <x:c r="AE10" s="60" t="n">
        <x:v>1</x:v>
      </x:c>
      <x:c r="AF10" s="60" t="n">
        <x:v>1</x:v>
      </x:c>
      <x:c r="AG10" s="60" t="n">
        <x:v>0.75</x:v>
      </x:c>
      <x:c r="AH10" s="60" t="n">
        <x:v>1</x:v>
      </x:c>
      <x:c r="AI10" s="60" t="n">
        <x:v>1</x:v>
      </x:c>
      <x:c r="AJ10" s="60" t="n">
        <x:v>1</x:v>
      </x:c>
      <x:c r="AK10" s="60" t="n">
        <x:v>1</x:v>
      </x:c>
      <x:c r="AL10" s="61" t="n">
        <x:f>AC10*'评分规则'!$B$4+AD10*'评分规则'!$B$5+AE10*'评分规则'!$B$6+AF10*'评分规则'!$B$7+AG10*'评分规则'!$B$8+AH10*'评分规则'!$B$9+AI10*'评分规则'!$B$10+AJ10*'评分规则'!$B$11+AK10*'评分规则'!$B$12</x:f>
        <x:v>97.5</x:v>
      </x:c>
      <x:c r="AM10" s="62" t="str">
        <x:f>IF(AL10&gt;='评分规则'!$F$4,"S",IF(AL10&gt;='评分规则'!$F$5,"A",IF(AL10&gt;='评分规则'!$F$6,"B","C")))</x:f>
        <x:v>S</x:v>
      </x:c>
      <x:c r="AN10" s="63" t="str">
        <x:v>否</x:v>
      </x:c>
      <x:c r="AO10" s="63" t="str">
        <x:v>待投递</x:v>
      </x:c>
      <x:c r="AP10" s="64"/>
      <x:c r="AQ10" s="63" t="str"/>
    </x:row>
    <x:row r="11" ht="66" customHeight="1">
      <x:c r="A11" s="56" t="str">
        <x:v>C002</x:v>
      </x:c>
      <x:c r="B11" s="56" t="str">
        <x:v>成都</x:v>
      </x:c>
      <x:c r="C11" s="56" t="str">
        <x:v>超图软件 SuperMap</x:v>
      </x:c>
      <x:c r="D11" s="56" t="str">
        <x:v>智能体平台</x:v>
      </x:c>
      <x:c r="E11" s="56" t="str">
        <x:v>AI算法工程师（实际为Agent全栈）</x:v>
      </x:c>
      <x:c r="F11" s="56" t="str">
        <x:v>社招/全职</x:v>
      </x:c>
      <x:c r="G11" s="56" t="str">
        <x:v>公司直招</x:v>
      </x:c>
      <x:c r="H11" s="57" t="n">
        <x:v>46219</x:v>
      </x:c>
      <x:c r="I11" s="56" t="str">
        <x:v>页面在招；投递前再次确认</x:v>
      </x:c>
      <x:c r="J11" s="58" t="str">
        <x:v>未披露</x:v>
      </x:c>
      <x:c r="K11" s="59"/>
      <x:c r="L11" s="59"/>
      <x:c r="M11" s="58" t="str">
        <x:v>未披露</x:v>
      </x:c>
      <x:c r="N11" s="59"/>
      <x:c r="O11" s="59" t="str">
        <x:f>IF(M11="K/月",(K11+L11)/2,IF(M11="万/年",(K11+L11)*10/24,""))</x:f>
      </x:c>
      <x:c r="P11" s="59" t="str">
        <x:f>IF(M11="K/月",(K11+L11)*IF(N11&gt;0,N11,12)/20,IF(M11="万/年",(K11+L11)/2,""))</x:f>
      </x:c>
      <x:c r="Q11" s="56" t="str">
        <x:v>未披露</x:v>
      </x:c>
      <x:c r="R11" s="56" t="str">
        <x:v>未披露</x:v>
      </x:c>
      <x:c r="S11" s="56" t="str">
        <x:v>公开信息未披露</x:v>
      </x:c>
      <x:c r="T11" s="56" t="str">
        <x:v>3年以上全栈；Python/FastAPI、React/Next.js/TS、OpenAPI/SSE、任务运行时、MCP/Skills、会话/记忆/可观测。</x:v>
      </x:c>
      <x:c r="U11" s="56" t="str">
        <x:v>C#后端+React+SSE+MCP+Agent全链路，简历几乎逐项对应。</x:v>
      </x:c>
      <x:c r="V11" s="56" t="str">
        <x:v>需补 FastAPI/Next.js 实战，确认职级与薪资。</x:v>
      </x:c>
      <x:c r="W11" s="56" t="str">
        <x:v>mailto:zhaopin@supermap.com</x:v>
      </x:c>
      <x:c r="X11" s="56" t="str">
        <x:v>https://www.supermap.com/zh-cn/a/job/13_5191.html</x:v>
      </x:c>
      <x:c r="Y11" s="56" t="str">
        <x:v>无公开码；邮件注明岗位和成都</x:v>
      </x:c>
      <x:c r="Z11" s="56" t="str">
        <x:v>A</x:v>
      </x:c>
      <x:c r="AA11" s="57" t="n">
        <x:v>46260</x:v>
      </x:c>
      <x:c r="AB11" s="56" t="str"/>
      <x:c r="AC11" s="60" t="n">
        <x:v>1</x:v>
      </x:c>
      <x:c r="AD11" s="60" t="n">
        <x:v>0.75</x:v>
      </x:c>
      <x:c r="AE11" s="60" t="n">
        <x:v>1</x:v>
      </x:c>
      <x:c r="AF11" s="60" t="n">
        <x:v>1</x:v>
      </x:c>
      <x:c r="AG11" s="60" t="n">
        <x:v>1</x:v>
      </x:c>
      <x:c r="AH11" s="60" t="n">
        <x:v>1</x:v>
      </x:c>
      <x:c r="AI11" s="60" t="n">
        <x:v>1</x:v>
      </x:c>
      <x:c r="AJ11" s="60" t="n">
        <x:v>1</x:v>
      </x:c>
      <x:c r="AK11" s="60" t="n">
        <x:v>1</x:v>
      </x:c>
      <x:c r="AL11" s="61" t="n">
        <x:f>AC11*'评分规则'!$B$4+AD11*'评分规则'!$B$5+AE11*'评分规则'!$B$6+AF11*'评分规则'!$B$7+AG11*'评分规则'!$B$8+AH11*'评分规则'!$B$9+AI11*'评分规则'!$B$10+AJ11*'评分规则'!$B$11+AK11*'评分规则'!$B$12</x:f>
        <x:v>96.25</x:v>
      </x:c>
      <x:c r="AM11" s="62" t="str">
        <x:f>IF(AL11&gt;='评分规则'!$F$4,"S",IF(AL11&gt;='评分规则'!$F$5,"A",IF(AL11&gt;='评分规则'!$F$6,"B","C")))</x:f>
        <x:v>S</x:v>
      </x:c>
      <x:c r="AN11" s="63" t="str">
        <x:v>否</x:v>
      </x:c>
      <x:c r="AO11" s="63" t="str">
        <x:v>待投递</x:v>
      </x:c>
      <x:c r="AP11" s="64"/>
      <x:c r="AQ11" s="63" t="str"/>
    </x:row>
    <x:row r="12" ht="66" customHeight="1">
      <x:c r="A12" s="56" t="str">
        <x:v>C005</x:v>
      </x:c>
      <x:c r="B12" s="56" t="str">
        <x:v>成都</x:v>
      </x:c>
      <x:c r="C12" s="56" t="str">
        <x:v>成都运达科技</x:v>
      </x:c>
      <x:c r="D12" s="56" t="str">
        <x:v>大模型应用</x:v>
      </x:c>
      <x:c r="E12" s="56" t="str">
        <x:v>大模型算法研发工程师</x:v>
      </x:c>
      <x:c r="F12" s="56" t="str">
        <x:v>社招/全职</x:v>
      </x:c>
      <x:c r="G12" s="56" t="str">
        <x:v>公司直招</x:v>
      </x:c>
      <x:c r="H12" s="57" t="n">
        <x:v>46221</x:v>
      </x:c>
      <x:c r="I12" s="56" t="str">
        <x:v>页面在招；投递前再次确认</x:v>
      </x:c>
      <x:c r="J12" s="58" t="str">
        <x:v>12–18K/月</x:v>
      </x:c>
      <x:c r="K12" s="59" t="n">
        <x:v>12</x:v>
      </x:c>
      <x:c r="L12" s="59" t="n">
        <x:v>18</x:v>
      </x:c>
      <x:c r="M12" s="58" t="str">
        <x:v>K/月</x:v>
      </x:c>
      <x:c r="N12" s="59"/>
      <x:c r="O12" s="59" t="n">
        <x:f>IF(M12="K/月",(K12+L12)/2,IF(M12="万/年",(K12+L12)*10/24,""))</x:f>
        <x:v>15</x:v>
      </x:c>
      <x:c r="P12" s="59" t="n">
        <x:f>IF(M12="K/月",(K12+L12)*IF(N12&gt;0,N12,12)/20,IF(M12="万/年",(K12+L12)/2,""))</x:f>
        <x:v>18</x:v>
      </x:c>
      <x:c r="Q12" s="56" t="str">
        <x:v>未披露</x:v>
      </x:c>
      <x:c r="R12" s="56" t="str">
        <x:v>未披露</x:v>
      </x:c>
      <x:c r="S12" s="56" t="str">
        <x:v>公开信息未披露</x:v>
      </x:c>
      <x:c r="T12" s="56" t="str">
        <x:v>3-5年；微调/SFT/RLHF/DPO、RAG全链路、Multi-Agent、vLLM/TensorRT、LLMOps、高可用与K8s。</x:v>
      </x:c>
      <x:c r="U12" s="56" t="str">
        <x:v>RAG、Agent、评测/监控与高可用匹配。</x:v>
      </x:c>
      <x:c r="V12" s="56" t="str">
        <x:v>薪资偏低且微调要求较强；投递前确认是否为核心研发而非交付。</x:v>
      </x:c>
      <x:c r="W12" s="56" t="str">
        <x:v>https://m.yupao.com/zhaogong/379774320.html</x:v>
      </x:c>
      <x:c r="X12" s="56" t="str">
        <x:v>https://m.yupao.com/zhaogong/379774320.html</x:v>
      </x:c>
      <x:c r="Y12" s="56" t="str">
        <x:v>无可验证公开码</x:v>
      </x:c>
      <x:c r="Z12" s="56" t="str">
        <x:v>B</x:v>
      </x:c>
      <x:c r="AA12" s="57" t="n">
        <x:v>46260</x:v>
      </x:c>
      <x:c r="AB12" s="56" t="str"/>
      <x:c r="AC12" s="60" t="n">
        <x:v>1</x:v>
      </x:c>
      <x:c r="AD12" s="60" t="n">
        <x:v>1</x:v>
      </x:c>
      <x:c r="AE12" s="60" t="n">
        <x:v>1</x:v>
      </x:c>
      <x:c r="AF12" s="60" t="n">
        <x:v>0.75</x:v>
      </x:c>
      <x:c r="AG12" s="60" t="n">
        <x:v>1</x:v>
      </x:c>
      <x:c r="AH12" s="60" t="n">
        <x:v>1</x:v>
      </x:c>
      <x:c r="AI12" s="60" t="n">
        <x:v>1</x:v>
      </x:c>
      <x:c r="AJ12" s="60" t="n">
        <x:v>1</x:v>
      </x:c>
      <x:c r="AK12" s="60" t="n">
        <x:v>0.75</x:v>
      </x:c>
      <x:c r="AL12" s="61" t="n">
        <x:f>AC12*'评分规则'!$B$4+AD12*'评分规则'!$B$5+AE12*'评分规则'!$B$6+AF12*'评分规则'!$B$7+AG12*'评分规则'!$B$8+AH12*'评分规则'!$B$9+AI12*'评分规则'!$B$10+AJ12*'评分规则'!$B$11+AK12*'评分规则'!$B$12</x:f>
        <x:v>96.25</x:v>
      </x:c>
      <x:c r="AM12" s="62" t="str">
        <x:f>IF(AL12&gt;='评分规则'!$F$4,"S",IF(AL12&gt;='评分规则'!$F$5,"A",IF(AL12&gt;='评分规则'!$F$6,"B","C")))</x:f>
        <x:v>S</x:v>
      </x:c>
      <x:c r="AN12" s="63" t="str">
        <x:v>否</x:v>
      </x:c>
      <x:c r="AO12" s="63" t="str">
        <x:v>待投递</x:v>
      </x:c>
      <x:c r="AP12" s="64"/>
      <x:c r="AQ12" s="63" t="str"/>
    </x:row>
    <x:row r="13" ht="66" customHeight="1">
      <x:c r="A13" s="56" t="str">
        <x:v>B002</x:v>
      </x:c>
      <x:c r="B13" s="56" t="str">
        <x:v>北京</x:v>
      </x:c>
      <x:c r="C13" s="56" t="str">
        <x:v>百度</x:v>
      </x:c>
      <x:c r="D13" s="56" t="str">
        <x:v>安全与企业效率平台</x:v>
      </x:c>
      <x:c r="E13" s="56" t="str">
        <x:v>AI应用工程师（J101300）</x:v>
      </x:c>
      <x:c r="F13" s="56" t="str">
        <x:v>社招/全职</x:v>
      </x:c>
      <x:c r="G13" s="56" t="str">
        <x:v>公司直招</x:v>
      </x:c>
      <x:c r="H13" s="57" t="n">
        <x:v>46224</x:v>
      </x:c>
      <x:c r="I13" s="56" t="str">
        <x:v>页面在招；投递前再次确认</x:v>
      </x:c>
      <x:c r="J13" s="58" t="str">
        <x:v>未披露</x:v>
      </x:c>
      <x:c r="K13" s="59"/>
      <x:c r="L13" s="59"/>
      <x:c r="M13" s="58" t="str">
        <x:v>未披露</x:v>
      </x:c>
      <x:c r="N13" s="59"/>
      <x:c r="O13" s="59" t="str">
        <x:f>IF(M13="K/月",(K13+L13)/2,IF(M13="万/年",(K13+L13)*10/24,""))</x:f>
      </x:c>
      <x:c r="P13" s="59" t="str">
        <x:f>IF(M13="K/月",(K13+L13)*IF(N13&gt;0,N13,12)/20,IF(M13="万/年",(K13+L13)/2,""))</x:f>
      </x:c>
      <x:c r="Q13" s="56" t="str">
        <x:v>未披露</x:v>
      </x:c>
      <x:c r="R13" s="56" t="str">
        <x:v>未披露</x:v>
      </x:c>
      <x:c r="S13" s="56" t="str">
        <x:v>公开信息未披露</x:v>
      </x:c>
      <x:c r="T13" s="56" t="str">
        <x:v>企业IT/安全/工程场景 Agent、知识库、工作流与内部系统集成；2年以上，Python/Go，向量库/知识库。</x:v>
      </x:c>
      <x:c r="U13" s="56" t="str">
        <x:v>年限、Agent工程、向量检索、企业流程集成、生产稳定性均匹配。</x:v>
      </x:c>
      <x:c r="V13" s="56" t="str">
        <x:v>岗位偏 Python/Go；简历需把 Python 实践与安全/权限边界写得更明确。</x:v>
      </x:c>
      <x:c r="W13" s="56" t="str">
        <x:v>https://talent.baidu.com/jobs/detail/SOCIAL/b286456b-922b-4ff3-9da0-0e8855443ba0</x:v>
      </x:c>
      <x:c r="X13" s="56" t="str">
        <x:v>https://talent.baidu.com/jobs/detail/SOCIAL/b286456b-922b-4ff3-9da0-0e8855443ba0</x:v>
      </x:c>
      <x:c r="Y13" s="56" t="str">
        <x:v>无可验证公开码</x:v>
      </x:c>
      <x:c r="Z13" s="56" t="str">
        <x:v>A</x:v>
      </x:c>
      <x:c r="AA13" s="57" t="n">
        <x:v>46260</x:v>
      </x:c>
      <x:c r="AB13" s="56" t="str"/>
      <x:c r="AC13" s="60" t="n">
        <x:v>1</x:v>
      </x:c>
      <x:c r="AD13" s="60" t="n">
        <x:v>1</x:v>
      </x:c>
      <x:c r="AE13" s="60" t="n">
        <x:v>1</x:v>
      </x:c>
      <x:c r="AF13" s="60" t="n">
        <x:v>1</x:v>
      </x:c>
      <x:c r="AG13" s="60" t="n">
        <x:v>0.5</x:v>
      </x:c>
      <x:c r="AH13" s="60" t="n">
        <x:v>1</x:v>
      </x:c>
      <x:c r="AI13" s="60" t="n">
        <x:v>1</x:v>
      </x:c>
      <x:c r="AJ13" s="60" t="n">
        <x:v>1</x:v>
      </x:c>
      <x:c r="AK13" s="60" t="n">
        <x:v>1</x:v>
      </x:c>
      <x:c r="AL13" s="61" t="n">
        <x:f>AC13*'评分规则'!$B$4+AD13*'评分规则'!$B$5+AE13*'评分规则'!$B$6+AF13*'评分规则'!$B$7+AG13*'评分规则'!$B$8+AH13*'评分规则'!$B$9+AI13*'评分规则'!$B$10+AJ13*'评分规则'!$B$11+AK13*'评分规则'!$B$12</x:f>
        <x:v>95</x:v>
      </x:c>
      <x:c r="AM13" s="62" t="str">
        <x:f>IF(AL13&gt;='评分规则'!$F$4,"S",IF(AL13&gt;='评分规则'!$F$5,"A",IF(AL13&gt;='评分规则'!$F$6,"B","C")))</x:f>
        <x:v>S</x:v>
      </x:c>
      <x:c r="AN13" s="63" t="str">
        <x:v>否</x:v>
      </x:c>
      <x:c r="AO13" s="63" t="str">
        <x:v>待投递</x:v>
      </x:c>
      <x:c r="AP13" s="64"/>
      <x:c r="AQ13" s="63" t="str"/>
    </x:row>
    <x:row r="14" ht="66" customHeight="1">
      <x:c r="A14" s="56" t="str">
        <x:v>B004</x:v>
      </x:c>
      <x:c r="B14" s="56" t="str">
        <x:v>北京</x:v>
      </x:c>
      <x:c r="C14" s="56" t="str">
        <x:v>字节跳动</x:v>
      </x:c>
      <x:c r="D14" s="56" t="str">
        <x:v>集团信息系统</x:v>
      </x:c>
      <x:c r="E14" s="56" t="str">
        <x:v>AI Agent后端开发工程师（AI垂直场景）</x:v>
      </x:c>
      <x:c r="F14" s="56" t="str">
        <x:v>社招/全职</x:v>
      </x:c>
      <x:c r="G14" s="56" t="str">
        <x:v>公司直招</x:v>
      </x:c>
      <x:c r="H14" s="57" t="n">
        <x:v>46148</x:v>
      </x:c>
      <x:c r="I14" s="56" t="str">
        <x:v>页面在招；投递前再次确认</x:v>
      </x:c>
      <x:c r="J14" s="58" t="str">
        <x:v>未披露</x:v>
      </x:c>
      <x:c r="K14" s="59"/>
      <x:c r="L14" s="59"/>
      <x:c r="M14" s="58" t="str">
        <x:v>未披露</x:v>
      </x:c>
      <x:c r="N14" s="59"/>
      <x:c r="O14" s="59" t="str">
        <x:f>IF(M14="K/月",(K14+L14)/2,IF(M14="万/年",(K14+L14)*10/24,""))</x:f>
      </x:c>
      <x:c r="P14" s="59" t="str">
        <x:f>IF(M14="K/月",(K14+L14)*IF(N14&gt;0,N14,12)/20,IF(M14="万/年",(K14+L14)/2,""))</x:f>
      </x:c>
      <x:c r="Q14" s="56" t="str">
        <x:v>未披露</x:v>
      </x:c>
      <x:c r="R14" s="56" t="str">
        <x:v>未披露</x:v>
      </x:c>
      <x:c r="S14" s="56" t="str">
        <x:v>公开信息未披露</x:v>
      </x:c>
      <x:c r="T14" s="56" t="str">
        <x:v>5年以上后端；Go/Java/Python；分布式、消息中间件、数据库；Agent、RAG、工具调用、规划、记忆、Eval/可观测。</x:v>
      </x:c>
      <x:c r="U14" s="56" t="str">
        <x:v>Agent、RAG、工程可靠性和高并发后端高度匹配。</x:v>
      </x:c>
      <x:c r="V14" s="56" t="str">
        <x:v>JD写5年以上，你为4年；把微软复杂系统负责人/490+生产合并量化到高级深度。</x:v>
      </x:c>
      <x:c r="W14" s="56" t="str">
        <x:v>https://jobs.bytedance.com/experienced/position/7636681993664874757/detail</x:v>
      </x:c>
      <x:c r="X14" s="56" t="str">
        <x:v>https://jobs.ultraai.site/jobs/bytedance/7636681993664874757</x:v>
      </x:c>
      <x:c r="Y14" s="56" t="str">
        <x:v>职先机页面称该岗暂不支持内推；无公开码</x:v>
      </x:c>
      <x:c r="Z14" s="56" t="str">
        <x:v>A</x:v>
      </x:c>
      <x:c r="AA14" s="57" t="n">
        <x:v>46260</x:v>
      </x:c>
      <x:c r="AB14" s="56" t="str"/>
      <x:c r="AC14" s="60" t="n">
        <x:v>1</x:v>
      </x:c>
      <x:c r="AD14" s="60" t="n">
        <x:v>1</x:v>
      </x:c>
      <x:c r="AE14" s="60" t="n">
        <x:v>1</x:v>
      </x:c>
      <x:c r="AF14" s="60" t="n">
        <x:v>1</x:v>
      </x:c>
      <x:c r="AG14" s="60" t="n">
        <x:v>1</x:v>
      </x:c>
      <x:c r="AH14" s="60" t="n">
        <x:v>0.5</x:v>
      </x:c>
      <x:c r="AI14" s="60" t="n">
        <x:v>1</x:v>
      </x:c>
      <x:c r="AJ14" s="60" t="n">
        <x:v>1</x:v>
      </x:c>
      <x:c r="AK14" s="60" t="n">
        <x:v>1</x:v>
      </x:c>
      <x:c r="AL14" s="61" t="n">
        <x:f>AC14*'评分规则'!$B$4+AD14*'评分规则'!$B$5+AE14*'评分规则'!$B$6+AF14*'评分规则'!$B$7+AG14*'评分规则'!$B$8+AH14*'评分规则'!$B$9+AI14*'评分规则'!$B$10+AJ14*'评分规则'!$B$11+AK14*'评分规则'!$B$12</x:f>
        <x:v>95</x:v>
      </x:c>
      <x:c r="AM14" s="62" t="str">
        <x:f>IF(AL14&gt;='评分规则'!$F$4,"S",IF(AL14&gt;='评分规则'!$F$5,"A",IF(AL14&gt;='评分规则'!$F$6,"B","C")))</x:f>
        <x:v>S</x:v>
      </x:c>
      <x:c r="AN14" s="63" t="str">
        <x:v>否</x:v>
      </x:c>
      <x:c r="AO14" s="63" t="str">
        <x:v>待投递</x:v>
      </x:c>
      <x:c r="AP14" s="64"/>
      <x:c r="AQ14" s="63" t="str"/>
    </x:row>
    <x:row r="15" ht="66" customHeight="1">
      <x:c r="A15" s="56" t="str">
        <x:v>B005</x:v>
      </x:c>
      <x:c r="B15" s="56" t="str">
        <x:v>北京</x:v>
      </x:c>
      <x:c r="C15" s="56" t="str">
        <x:v>高德地图</x:v>
      </x:c>
      <x:c r="D15" s="56" t="str">
        <x:v>Agent研发专项</x:v>
      </x:c>
      <x:c r="E15" s="56" t="str">
        <x:v>高级 AI 应用工程师</x:v>
      </x:c>
      <x:c r="F15" s="56" t="str">
        <x:v>社招/全职</x:v>
      </x:c>
      <x:c r="G15" s="56" t="str">
        <x:v>公司直招</x:v>
      </x:c>
      <x:c r="H15" s="57" t="n">
        <x:v>46256</x:v>
      </x:c>
      <x:c r="I15" s="56" t="str">
        <x:v>页面在招；投递前再次确认</x:v>
      </x:c>
      <x:c r="J15" s="58" t="str">
        <x:v>未披露</x:v>
      </x:c>
      <x:c r="K15" s="59"/>
      <x:c r="L15" s="59"/>
      <x:c r="M15" s="58" t="str">
        <x:v>未披露</x:v>
      </x:c>
      <x:c r="N15" s="59"/>
      <x:c r="O15" s="59" t="str">
        <x:f>IF(M15="K/月",(K15+L15)/2,IF(M15="万/年",(K15+L15)*10/24,""))</x:f>
      </x:c>
      <x:c r="P15" s="59" t="str">
        <x:f>IF(M15="K/月",(K15+L15)*IF(N15&gt;0,N15,12)/20,IF(M15="万/年",(K15+L15)/2,""))</x:f>
      </x:c>
      <x:c r="Q15" s="56" t="str">
        <x:v>未披露</x:v>
      </x:c>
      <x:c r="R15" s="56" t="str">
        <x:v>未披露</x:v>
      </x:c>
      <x:c r="S15" s="56" t="str">
        <x:v>公开信息未披露</x:v>
      </x:c>
      <x:c r="T15" s="56" t="str">
        <x:v>5年以上后端，Python/Go、K8s/Docker；生产级 Agent、RAG、LangGraph/AutoGen/Semantic Kernel、容错与幻觉治理。</x:v>
      </x:c>
      <x:c r="U15" s="56" t="str">
        <x:v>Evidence-first、拒答门禁、重试去陈旧、K8s 与系统性能优化非常对口。</x:v>
      </x:c>
      <x:c r="V15" s="56" t="str">
        <x:v>5年门槛略高；微调/RLHF与开源贡献不是强项。</x:v>
      </x:c>
      <x:c r="W15" s="56" t="str">
        <x:v>https://talent.amap.com/off-campus/position-detail?positionId=100012920005</x:v>
      </x:c>
      <x:c r="X15" s="56" t="str">
        <x:v>https://jobs.ultraai.site/jobs/amap/100012920005</x:v>
      </x:c>
      <x:c r="Y15" s="56" t="str">
        <x:v>职先机页面称可申请免费内推；无公开码，需核验</x:v>
      </x:c>
      <x:c r="Z15" s="56" t="str">
        <x:v>A</x:v>
      </x:c>
      <x:c r="AA15" s="57" t="n">
        <x:v>46260</x:v>
      </x:c>
      <x:c r="AB15" s="56" t="str"/>
      <x:c r="AC15" s="60" t="n">
        <x:v>1</x:v>
      </x:c>
      <x:c r="AD15" s="60" t="n">
        <x:v>1</x:v>
      </x:c>
      <x:c r="AE15" s="60" t="n">
        <x:v>1</x:v>
      </x:c>
      <x:c r="AF15" s="60" t="n">
        <x:v>1</x:v>
      </x:c>
      <x:c r="AG15" s="60" t="n">
        <x:v>1</x:v>
      </x:c>
      <x:c r="AH15" s="60" t="n">
        <x:v>0.5</x:v>
      </x:c>
      <x:c r="AI15" s="60" t="n">
        <x:v>1</x:v>
      </x:c>
      <x:c r="AJ15" s="60" t="n">
        <x:v>1</x:v>
      </x:c>
      <x:c r="AK15" s="60" t="n">
        <x:v>1</x:v>
      </x:c>
      <x:c r="AL15" s="61" t="n">
        <x:f>AC15*'评分规则'!$B$4+AD15*'评分规则'!$B$5+AE15*'评分规则'!$B$6+AF15*'评分规则'!$B$7+AG15*'评分规则'!$B$8+AH15*'评分规则'!$B$9+AI15*'评分规则'!$B$10+AJ15*'评分规则'!$B$11+AK15*'评分规则'!$B$12</x:f>
        <x:v>95</x:v>
      </x:c>
      <x:c r="AM15" s="62" t="str">
        <x:f>IF(AL15&gt;='评分规则'!$F$4,"S",IF(AL15&gt;='评分规则'!$F$5,"A",IF(AL15&gt;='评分规则'!$F$6,"B","C")))</x:f>
        <x:v>S</x:v>
      </x:c>
      <x:c r="AN15" s="63" t="str">
        <x:v>否</x:v>
      </x:c>
      <x:c r="AO15" s="63" t="str">
        <x:v>待投递</x:v>
      </x:c>
      <x:c r="AP15" s="64"/>
      <x:c r="AQ15" s="63" t="str"/>
    </x:row>
    <x:row r="16" ht="66" customHeight="1">
      <x:c r="A16" s="56" t="str">
        <x:v>C003</x:v>
      </x:c>
      <x:c r="B16" s="56" t="str">
        <x:v>成都</x:v>
      </x:c>
      <x:c r="C16" s="56" t="str">
        <x:v>枢星数智科技</x:v>
      </x:c>
      <x:c r="D16" s="56" t="str">
        <x:v>医疗AI</x:v>
      </x:c>
      <x:c r="E16" s="56" t="str">
        <x:v>大模型算法工程师（Agent应用）</x:v>
      </x:c>
      <x:c r="F16" s="56" t="str">
        <x:v>社招/全职</x:v>
      </x:c>
      <x:c r="G16" s="56" t="str">
        <x:v>公司直招</x:v>
      </x:c>
      <x:c r="H16" s="57"/>
      <x:c r="I16" s="56" t="str">
        <x:v>页面在招；投递前再次确认</x:v>
      </x:c>
      <x:c r="J16" s="58" t="str">
        <x:v>未披露</x:v>
      </x:c>
      <x:c r="K16" s="59"/>
      <x:c r="L16" s="59"/>
      <x:c r="M16" s="58" t="str">
        <x:v>未披露</x:v>
      </x:c>
      <x:c r="N16" s="59"/>
      <x:c r="O16" s="59" t="str">
        <x:f>IF(M16="K/月",(K16+L16)/2,IF(M16="万/年",(K16+L16)*10/24,""))</x:f>
      </x:c>
      <x:c r="P16" s="59" t="str">
        <x:f>IF(M16="K/月",(K16+L16)*IF(N16&gt;0,N16,12)/20,IF(M16="万/年",(K16+L16)/2,""))</x:f>
      </x:c>
      <x:c r="Q16" s="56" t="str">
        <x:v>未披露</x:v>
      </x:c>
      <x:c r="R16" s="56" t="str">
        <x:v>未披露</x:v>
      </x:c>
      <x:c r="S16" s="56" t="str">
        <x:v>公开信息未披露</x:v>
      </x:c>
      <x:c r="T16" s="56" t="str">
        <x:v>3年以上；Python、LangChain/LlamaIndex/AutoGen/LangGraph、RAG/多Agent、WebSocket、Docker/K8s；HL7/FHIR优先。</x:v>
      </x:c>
      <x:c r="U16" s="56" t="str">
        <x:v>Agent/RAG/工程化与年限高度匹配。</x:v>
      </x:c>
      <x:c r="V16" s="56" t="str">
        <x:v>医疗协议与医院系统经验缺失；核验公司规模、薪资和项目交付节奏。</x:v>
      </x:c>
      <x:c r="W16" s="56" t="str">
        <x:v>https://www.dubhedi.com/social-recruitment.html</x:v>
      </x:c>
      <x:c r="X16" s="56" t="str">
        <x:v>https://www.dubhedi.com/social-recruitment.html</x:v>
      </x:c>
      <x:c r="Y16" s="56" t="str">
        <x:v>无可验证公开码</x:v>
      </x:c>
      <x:c r="Z16" s="56" t="str">
        <x:v>A</x:v>
      </x:c>
      <x:c r="AA16" s="57" t="n">
        <x:v>46260</x:v>
      </x:c>
      <x:c r="AB16" s="56" t="str"/>
      <x:c r="AC16" s="60" t="n">
        <x:v>1</x:v>
      </x:c>
      <x:c r="AD16" s="60" t="n">
        <x:v>1</x:v>
      </x:c>
      <x:c r="AE16" s="60" t="n">
        <x:v>1</x:v>
      </x:c>
      <x:c r="AF16" s="60" t="n">
        <x:v>1</x:v>
      </x:c>
      <x:c r="AG16" s="60" t="n">
        <x:v>0.5</x:v>
      </x:c>
      <x:c r="AH16" s="60" t="n">
        <x:v>1</x:v>
      </x:c>
      <x:c r="AI16" s="60" t="n">
        <x:v>1</x:v>
      </x:c>
      <x:c r="AJ16" s="60" t="n">
        <x:v>1</x:v>
      </x:c>
      <x:c r="AK16" s="60" t="n">
        <x:v>1</x:v>
      </x:c>
      <x:c r="AL16" s="61" t="n">
        <x:f>AC16*'评分规则'!$B$4+AD16*'评分规则'!$B$5+AE16*'评分规则'!$B$6+AF16*'评分规则'!$B$7+AG16*'评分规则'!$B$8+AH16*'评分规则'!$B$9+AI16*'评分规则'!$B$10+AJ16*'评分规则'!$B$11+AK16*'评分规则'!$B$12</x:f>
        <x:v>95</x:v>
      </x:c>
      <x:c r="AM16" s="62" t="str">
        <x:f>IF(AL16&gt;='评分规则'!$F$4,"S",IF(AL16&gt;='评分规则'!$F$5,"A",IF(AL16&gt;='评分规则'!$F$6,"B","C")))</x:f>
        <x:v>S</x:v>
      </x:c>
      <x:c r="AN16" s="63" t="str">
        <x:v>否</x:v>
      </x:c>
      <x:c r="AO16" s="63" t="str">
        <x:v>待投递</x:v>
      </x:c>
      <x:c r="AP16" s="64"/>
      <x:c r="AQ16" s="63" t="str"/>
    </x:row>
    <x:row r="17" ht="66" customHeight="1">
      <x:c r="A17" s="56" t="str">
        <x:v>SZ001</x:v>
      </x:c>
      <x:c r="B17" s="56" t="str">
        <x:v>深圳</x:v>
      </x:c>
      <x:c r="C17" s="56" t="str">
        <x:v>字节跳动</x:v>
      </x:c>
      <x:c r="D17" s="56" t="str">
        <x:v>集团信息系统</x:v>
      </x:c>
      <x:c r="E17" s="56" t="str">
        <x:v>AI Agent后端开发工程师（AI垂直场景）</x:v>
      </x:c>
      <x:c r="F17" s="56" t="str">
        <x:v>社招/全职</x:v>
      </x:c>
      <x:c r="G17" s="56" t="str">
        <x:v>公司直招</x:v>
      </x:c>
      <x:c r="H17" s="57" t="n">
        <x:v>46148</x:v>
      </x:c>
      <x:c r="I17" s="56" t="str">
        <x:v>页面在招；投递前再次确认</x:v>
      </x:c>
      <x:c r="J17" s="58" t="str">
        <x:v>未披露</x:v>
      </x:c>
      <x:c r="K17" s="59"/>
      <x:c r="L17" s="59"/>
      <x:c r="M17" s="58" t="str">
        <x:v>未披露</x:v>
      </x:c>
      <x:c r="N17" s="59"/>
      <x:c r="O17" s="59" t="str">
        <x:f>IF(M17="K/月",(K17+L17)/2,IF(M17="万/年",(K17+L17)*10/24,""))</x:f>
      </x:c>
      <x:c r="P17" s="59" t="str">
        <x:f>IF(M17="K/月",(K17+L17)*IF(N17&gt;0,N17,12)/20,IF(M17="万/年",(K17+L17)/2,""))</x:f>
      </x:c>
      <x:c r="Q17" s="56" t="str">
        <x:v>未披露</x:v>
      </x:c>
      <x:c r="R17" s="56" t="str">
        <x:v>未披露</x:v>
      </x:c>
      <x:c r="S17" s="56" t="str">
        <x:v>公开信息未披露</x:v>
      </x:c>
      <x:c r="T17" s="56" t="str">
        <x:v>2年以上后端；Go/Java/Python、分布式/微服务；了解Agent、RAG、LangGraph/Claude Agent SDK、Prompt与LLM API。</x:v>
      </x:c>
      <x:c r="U17" s="56" t="str">
        <x:v>要求比北京同名高级岗更贴合你的4年经验，且Agent技能显著超出“了解”。</x:v>
      </x:c>
      <x:c r="V17" s="56" t="str">
        <x:v>需确认级别与成长空间，避免因JD偏初中级而倒挂。</x:v>
      </x:c>
      <x:c r="W17" s="56" t="str">
        <x:v>https://jobs.bytedance.com/experienced/position/7636694952900004101/detail</x:v>
      </x:c>
      <x:c r="X17" s="56" t="str">
        <x:v>https://jobs.ultraai.site/jobs/bytedance/7636694952900004101</x:v>
      </x:c>
      <x:c r="Y17" s="56" t="str">
        <x:v>职先机页面显示暂不支持该岗内推；无公开码</x:v>
      </x:c>
      <x:c r="Z17" s="56" t="str">
        <x:v>A</x:v>
      </x:c>
      <x:c r="AA17" s="57" t="n">
        <x:v>46260</x:v>
      </x:c>
      <x:c r="AB17" s="56" t="str"/>
      <x:c r="AC17" s="60" t="n">
        <x:v>1</x:v>
      </x:c>
      <x:c r="AD17" s="60" t="n">
        <x:v>1</x:v>
      </x:c>
      <x:c r="AE17" s="60" t="n">
        <x:v>1</x:v>
      </x:c>
      <x:c r="AF17" s="60" t="n">
        <x:v>1</x:v>
      </x:c>
      <x:c r="AG17" s="60" t="n">
        <x:v>0.5</x:v>
      </x:c>
      <x:c r="AH17" s="60" t="n">
        <x:v>1</x:v>
      </x:c>
      <x:c r="AI17" s="60" t="n">
        <x:v>1</x:v>
      </x:c>
      <x:c r="AJ17" s="60" t="n">
        <x:v>1</x:v>
      </x:c>
      <x:c r="AK17" s="60" t="n">
        <x:v>1</x:v>
      </x:c>
      <x:c r="AL17" s="61" t="n">
        <x:f>AC17*'评分规则'!$B$4+AD17*'评分规则'!$B$5+AE17*'评分规则'!$B$6+AF17*'评分规则'!$B$7+AG17*'评分规则'!$B$8+AH17*'评分规则'!$B$9+AI17*'评分规则'!$B$10+AJ17*'评分规则'!$B$11+AK17*'评分规则'!$B$12</x:f>
        <x:v>95</x:v>
      </x:c>
      <x:c r="AM17" s="62" t="str">
        <x:f>IF(AL17&gt;='评分规则'!$F$4,"S",IF(AL17&gt;='评分规则'!$F$5,"A",IF(AL17&gt;='评分规则'!$F$6,"B","C")))</x:f>
        <x:v>S</x:v>
      </x:c>
      <x:c r="AN17" s="63" t="str">
        <x:v>否</x:v>
      </x:c>
      <x:c r="AO17" s="63" t="str">
        <x:v>待投递</x:v>
      </x:c>
      <x:c r="AP17" s="64"/>
      <x:c r="AQ17" s="63" t="str"/>
    </x:row>
    <x:row r="18" ht="66" customHeight="1">
      <x:c r="A18" s="56" t="str">
        <x:v>SZ004</x:v>
      </x:c>
      <x:c r="B18" s="56" t="str">
        <x:v>深圳</x:v>
      </x:c>
      <x:c r="C18" s="56" t="str">
        <x:v>Morgan Philips代招</x:v>
      </x:c>
      <x:c r="D18" s="56" t="str">
        <x:v>客户未披露</x:v>
      </x:c>
      <x:c r="E18" s="56" t="str">
        <x:v>AI大模型应用工程师（RAG与智能体）</x:v>
      </x:c>
      <x:c r="F18" s="56" t="str">
        <x:v>社招/全职</x:v>
      </x:c>
      <x:c r="G18" s="56" t="str">
        <x:v>猎头代招；客户未具名</x:v>
      </x:c>
      <x:c r="H18" s="57" t="n">
        <x:v>46184</x:v>
      </x:c>
      <x:c r="I18" s="56" t="str">
        <x:v>页面在招；投递前再次确认</x:v>
      </x:c>
      <x:c r="J18" s="58" t="str">
        <x:v>未披露</x:v>
      </x:c>
      <x:c r="K18" s="59"/>
      <x:c r="L18" s="59"/>
      <x:c r="M18" s="58" t="str">
        <x:v>未披露</x:v>
      </x:c>
      <x:c r="N18" s="59"/>
      <x:c r="O18" s="59" t="str">
        <x:f>IF(M18="K/月",(K18+L18)/2,IF(M18="万/年",(K18+L18)*10/24,""))</x:f>
      </x:c>
      <x:c r="P18" s="59" t="str">
        <x:f>IF(M18="K/月",(K18+L18)*IF(N18&gt;0,N18,12)/20,IF(M18="万/年",(K18+L18)/2,""))</x:f>
      </x:c>
      <x:c r="Q18" s="56" t="str">
        <x:v>未披露</x:v>
      </x:c>
      <x:c r="R18" s="56" t="str">
        <x:v>未披露</x:v>
      </x:c>
      <x:c r="S18" s="56" t="str">
        <x:v>公开信息未披露</x:v>
      </x:c>
      <x:c r="T18" s="56" t="str">
        <x:v>3-5年、硕士；RAG分块/检索/重排、Prompt A/B、Tool Calling、Agent规划记忆反思、Python/FastAPI。</x:v>
      </x:c>
      <x:c r="U18" s="56" t="str">
        <x:v>年限、硕士、混合检索、评测与Agent架构完全贴合。</x:v>
      </x:c>
      <x:c r="V18" s="56" t="str">
        <x:v>客户公司与薪资未披露；岗位描述部分要求偏基础，需确认级别。</x:v>
      </x:c>
      <x:c r="W18" s="56" t="str">
        <x:v>https://jobs.morganphilips.cn/zh-cn/ai%E5%A4%A7%E6%A8%A1%E5%9E%8B%E5%BA%94%E7%94%A8%E5%B7%A5%E7%A8%8B%E5%B8%88-rag%E4%B8%8E%E6%99%BA%E8%83%BD%E4%BD%93%E6%96%B9%E5%90%91-shenzhen-153501/</x:v>
      </x:c>
      <x:c r="X18" s="56" t="str">
        <x:v>https://jobs.morganphilips.cn/zh-cn/ai%E5%A4%A7%E6%A8%A1%E5%9E%8B%E5%BA%94%E7%94%A8%E5%B7%A5%E7%A8%8B%E5%B8%88-rag%E4%B8%8E%E6%99%BA%E8%83%BD%E4%BD%93%E6%96%B9%E5%90%91-shenzhen-153501/</x:v>
      </x:c>
      <x:c r="Y18" s="56" t="str">
        <x:v>无可验证公开码</x:v>
      </x:c>
      <x:c r="Z18" s="56" t="str">
        <x:v>B</x:v>
      </x:c>
      <x:c r="AA18" s="57" t="n">
        <x:v>46260</x:v>
      </x:c>
      <x:c r="AB18" s="56" t="str"/>
      <x:c r="AC18" s="60" t="n">
        <x:v>1</x:v>
      </x:c>
      <x:c r="AD18" s="60" t="n">
        <x:v>1</x:v>
      </x:c>
      <x:c r="AE18" s="60" t="n">
        <x:v>1</x:v>
      </x:c>
      <x:c r="AF18" s="60" t="n">
        <x:v>1</x:v>
      </x:c>
      <x:c r="AG18" s="60" t="n">
        <x:v>0.75</x:v>
      </x:c>
      <x:c r="AH18" s="60" t="n">
        <x:v>1</x:v>
      </x:c>
      <x:c r="AI18" s="60" t="n">
        <x:v>1</x:v>
      </x:c>
      <x:c r="AJ18" s="60" t="n">
        <x:v>1</x:v>
      </x:c>
      <x:c r="AK18" s="60" t="n">
        <x:v>0.5</x:v>
      </x:c>
      <x:c r="AL18" s="61" t="n">
        <x:f>AC18*'评分规则'!$B$4+AD18*'评分规则'!$B$5+AE18*'评分规则'!$B$6+AF18*'评分规则'!$B$7+AG18*'评分规则'!$B$8+AH18*'评分规则'!$B$9+AI18*'评分规则'!$B$10+AJ18*'评分规则'!$B$11+AK18*'评分规则'!$B$12</x:f>
        <x:v>95</x:v>
      </x:c>
      <x:c r="AM18" s="62" t="str">
        <x:f>IF(AL18&gt;='评分规则'!$F$4,"S",IF(AL18&gt;='评分规则'!$F$5,"A",IF(AL18&gt;='评分规则'!$F$6,"B","C")))</x:f>
        <x:v>S</x:v>
      </x:c>
      <x:c r="AN18" s="63" t="str">
        <x:v>否</x:v>
      </x:c>
      <x:c r="AO18" s="63" t="str">
        <x:v>待投递</x:v>
      </x:c>
      <x:c r="AP18" s="64"/>
      <x:c r="AQ18" s="63" t="str"/>
    </x:row>
    <x:row r="19" ht="66" customHeight="1">
      <x:c r="A19" s="56" t="str">
        <x:v>B006</x:v>
      </x:c>
      <x:c r="B19" s="56" t="str">
        <x:v>北京</x:v>
      </x:c>
      <x:c r="C19" s="56" t="str">
        <x:v>北控水务</x:v>
      </x:c>
      <x:c r="D19" s="56" t="str">
        <x:v>数字化/AI应用（JD未细分）</x:v>
      </x:c>
      <x:c r="E19" s="56" t="str">
        <x:v>大模型与智能体开发工程师（J14604）</x:v>
      </x:c>
      <x:c r="F19" s="56" t="str">
        <x:v>社招/全职</x:v>
      </x:c>
      <x:c r="G19" s="56" t="str">
        <x:v>公司直招</x:v>
      </x:c>
      <x:c r="H19" s="57" t="n">
        <x:v>46174</x:v>
      </x:c>
      <x:c r="I19" s="56" t="str">
        <x:v>页面在招；投递前再次确认</x:v>
      </x:c>
      <x:c r="J19" s="58" t="str">
        <x:v>30–50K/月</x:v>
      </x:c>
      <x:c r="K19" s="59" t="n">
        <x:v>30</x:v>
      </x:c>
      <x:c r="L19" s="59" t="n">
        <x:v>50</x:v>
      </x:c>
      <x:c r="M19" s="58" t="str">
        <x:v>K/月</x:v>
      </x:c>
      <x:c r="N19" s="59"/>
      <x:c r="O19" s="59" t="n">
        <x:f>IF(M19="K/月",(K19+L19)/2,IF(M19="万/年",(K19+L19)*10/24,""))</x:f>
        <x:v>40</x:v>
      </x:c>
      <x:c r="P19" s="59" t="n">
        <x:f>IF(M19="K/月",(K19+L19)*IF(N19&gt;0,N19,12)/20,IF(M19="万/年",(K19+L19)/2,""))</x:f>
        <x:v>48</x:v>
      </x:c>
      <x:c r="Q19" s="56" t="str">
        <x:v>未披露</x:v>
      </x:c>
      <x:c r="R19" s="56" t="str">
        <x:v>未披露</x:v>
      </x:c>
      <x:c r="S19" s="56" t="str">
        <x:v>公开信息未披露</x:v>
      </x:c>
      <x:c r="T19" s="56" t="str">
        <x:v>3-5年、硕士；Python Web、LangChain/LangGraph、RAG/多路召回/重排、MCP、多Agent、GraphRAG。</x:v>
      </x:c>
      <x:c r="U19" s="56" t="str">
        <x:v>多路召回、RRF、MCP、Agent Eval 与年限完全契合。</x:v>
      </x:c>
      <x:c r="V19" s="56" t="str">
        <x:v>GraphRAG、本体论、LoRA 微调需补课；薪资来自智联页面。</x:v>
      </x:c>
      <x:c r="W19" s="56" t="str">
        <x:v>https://m.zhaopin.com/jobs/CC306391710J40825077707.htm</x:v>
      </x:c>
      <x:c r="X19" s="56" t="str">
        <x:v>https://m.zhaopin.com/jobs/CC306391710J40825077707.htm</x:v>
      </x:c>
      <x:c r="Y19" s="56" t="str">
        <x:v>无可验证公开码</x:v>
      </x:c>
      <x:c r="Z19" s="56" t="str">
        <x:v>B</x:v>
      </x:c>
      <x:c r="AA19" s="57" t="n">
        <x:v>46260</x:v>
      </x:c>
      <x:c r="AB19" s="56" t="str"/>
      <x:c r="AC19" s="60" t="n">
        <x:v>1</x:v>
      </x:c>
      <x:c r="AD19" s="60" t="n">
        <x:v>1</x:v>
      </x:c>
      <x:c r="AE19" s="60" t="n">
        <x:v>1</x:v>
      </x:c>
      <x:c r="AF19" s="60" t="n">
        <x:v>1</x:v>
      </x:c>
      <x:c r="AG19" s="60" t="n">
        <x:v>0.5</x:v>
      </x:c>
      <x:c r="AH19" s="60" t="n">
        <x:v>1</x:v>
      </x:c>
      <x:c r="AI19" s="60" t="n">
        <x:v>1</x:v>
      </x:c>
      <x:c r="AJ19" s="60" t="n">
        <x:v>1</x:v>
      </x:c>
      <x:c r="AK19" s="60" t="n">
        <x:v>0.75</x:v>
      </x:c>
      <x:c r="AL19" s="61" t="n">
        <x:f>AC19*'评分规则'!$B$4+AD19*'评分规则'!$B$5+AE19*'评分规则'!$B$6+AF19*'评分规则'!$B$7+AG19*'评分规则'!$B$8+AH19*'评分规则'!$B$9+AI19*'评分规则'!$B$10+AJ19*'评分规则'!$B$11+AK19*'评分规则'!$B$12</x:f>
        <x:v>93.75</x:v>
      </x:c>
      <x:c r="AM19" s="62" t="str">
        <x:f>IF(AL19&gt;='评分规则'!$F$4,"S",IF(AL19&gt;='评分规则'!$F$5,"A",IF(AL19&gt;='评分规则'!$F$6,"B","C")))</x:f>
        <x:v>S</x:v>
      </x:c>
      <x:c r="AN19" s="63" t="str">
        <x:v>否</x:v>
      </x:c>
      <x:c r="AO19" s="63" t="str">
        <x:v>待投递</x:v>
      </x:c>
      <x:c r="AP19" s="64"/>
      <x:c r="AQ19" s="63" t="str"/>
    </x:row>
    <x:row r="20" ht="66" customHeight="1">
      <x:c r="A20" s="56" t="str">
        <x:v>H001</x:v>
      </x:c>
      <x:c r="B20" s="56" t="str">
        <x:v>杭州</x:v>
      </x:c>
      <x:c r="C20" s="56" t="str">
        <x:v>海康威视</x:v>
      </x:c>
      <x:c r="D20" s="56" t="str">
        <x:v>研究院</x:v>
      </x:c>
      <x:c r="E20" s="56" t="str">
        <x:v>大模型应用算法工程师</x:v>
      </x:c>
      <x:c r="F20" s="56" t="str">
        <x:v>社招/全职</x:v>
      </x:c>
      <x:c r="G20" s="56" t="str">
        <x:v>公司直招</x:v>
      </x:c>
      <x:c r="H20" s="57" t="n">
        <x:v>46219</x:v>
      </x:c>
      <x:c r="I20" s="56" t="str">
        <x:v>页面在招；投递前再次确认</x:v>
      </x:c>
      <x:c r="J20" s="58" t="str">
        <x:v>未披露</x:v>
      </x:c>
      <x:c r="K20" s="59"/>
      <x:c r="L20" s="59"/>
      <x:c r="M20" s="58" t="str">
        <x:v>未披露</x:v>
      </x:c>
      <x:c r="N20" s="59"/>
      <x:c r="O20" s="59" t="str">
        <x:f>IF(M20="K/月",(K20+L20)/2,IF(M20="万/年",(K20+L20)*10/24,""))</x:f>
      </x:c>
      <x:c r="P20" s="59" t="str">
        <x:f>IF(M20="K/月",(K20+L20)*IF(N20&gt;0,N20,12)/20,IF(M20="万/年",(K20+L20)/2,""))</x:f>
      </x:c>
      <x:c r="Q20" s="56" t="str">
        <x:v>未披露</x:v>
      </x:c>
      <x:c r="R20" s="56" t="str">
        <x:v>未披露</x:v>
      </x:c>
      <x:c r="S20" s="56" t="str">
        <x:v>公开信息未披露</x:v>
      </x:c>
      <x:c r="T20" s="56" t="str">
        <x:v>2年以上；Agent应用架构、性能/成本/稳定性调优、自动评测与可观测；Python/Go/Java；硕士，论文优先。</x:v>
      </x:c>
      <x:c r="U20" s="56" t="str">
        <x:v>Agent Eval、可观测性、性能与成本权衡极匹配。</x:v>
      </x:c>
      <x:c r="V20" s="56" t="str">
        <x:v>顶会论文/Transformer深度与主流Agent框架需补证据。</x:v>
      </x:c>
      <x:c r="W20" s="56" t="str">
        <x:v>https://talent.hikvision.com/home/socity/position?postId=F3572C5AD0A1263CE644BEF27E2AA66F</x:v>
      </x:c>
      <x:c r="X20" s="56" t="str">
        <x:v>https://talent.hikvision.com/home/socity/position?postId=F3572C5AD0A1263CE644BEF27E2AA66F</x:v>
      </x:c>
      <x:c r="Y20" s="56" t="str">
        <x:v>无可验证公开码</x:v>
      </x:c>
      <x:c r="Z20" s="56" t="str">
        <x:v>A</x:v>
      </x:c>
      <x:c r="AA20" s="57" t="n">
        <x:v>46260</x:v>
      </x:c>
      <x:c r="AB20" s="56" t="str"/>
      <x:c r="AC20" s="60" t="n">
        <x:v>1</x:v>
      </x:c>
      <x:c r="AD20" s="60" t="n">
        <x:v>0.75</x:v>
      </x:c>
      <x:c r="AE20" s="60" t="n">
        <x:v>1</x:v>
      </x:c>
      <x:c r="AF20" s="60" t="n">
        <x:v>0.75</x:v>
      </x:c>
      <x:c r="AG20" s="60" t="n">
        <x:v>1</x:v>
      </x:c>
      <x:c r="AH20" s="60" t="n">
        <x:v>1</x:v>
      </x:c>
      <x:c r="AI20" s="60" t="n">
        <x:v>1</x:v>
      </x:c>
      <x:c r="AJ20" s="60" t="n">
        <x:v>1</x:v>
      </x:c>
      <x:c r="AK20" s="60" t="n">
        <x:v>1</x:v>
      </x:c>
      <x:c r="AL20" s="61" t="n">
        <x:f>AC20*'评分规则'!$B$4+AD20*'评分规则'!$B$5+AE20*'评分规则'!$B$6+AF20*'评分规则'!$B$7+AG20*'评分规则'!$B$8+AH20*'评分规则'!$B$9+AI20*'评分规则'!$B$10+AJ20*'评分规则'!$B$11+AK20*'评分规则'!$B$12</x:f>
        <x:v>93.75</x:v>
      </x:c>
      <x:c r="AM20" s="62" t="str">
        <x:f>IF(AL20&gt;='评分规则'!$F$4,"S",IF(AL20&gt;='评分规则'!$F$5,"A",IF(AL20&gt;='评分规则'!$F$6,"B","C")))</x:f>
        <x:v>S</x:v>
      </x:c>
      <x:c r="AN20" s="63" t="str">
        <x:v>否</x:v>
      </x:c>
      <x:c r="AO20" s="63" t="str">
        <x:v>待投递</x:v>
      </x:c>
      <x:c r="AP20" s="64"/>
      <x:c r="AQ20" s="63" t="str"/>
    </x:row>
    <x:row r="21" ht="66" customHeight="1">
      <x:c r="A21" s="56" t="str">
        <x:v>S002</x:v>
      </x:c>
      <x:c r="B21" s="56" t="str">
        <x:v>上海</x:v>
      </x:c>
      <x:c r="C21" s="56" t="str">
        <x:v>字节跳动</x:v>
      </x:c>
      <x:c r="D21" s="56" t="str">
        <x:v>AI Platform</x:v>
      </x:c>
      <x:c r="E21" s="56" t="str">
        <x:v>Agent架构研发工程师/专家</x:v>
      </x:c>
      <x:c r="F21" s="56" t="str">
        <x:v>社招/全职</x:v>
      </x:c>
      <x:c r="G21" s="56" t="str">
        <x:v>公司直招</x:v>
      </x:c>
      <x:c r="H21" s="57" t="n">
        <x:v>46139</x:v>
      </x:c>
      <x:c r="I21" s="56" t="str">
        <x:v>页面在招；投递前再次确认</x:v>
      </x:c>
      <x:c r="J21" s="58" t="str">
        <x:v>未披露</x:v>
      </x:c>
      <x:c r="K21" s="59"/>
      <x:c r="L21" s="59"/>
      <x:c r="M21" s="58" t="str">
        <x:v>未披露</x:v>
      </x:c>
      <x:c r="N21" s="59"/>
      <x:c r="O21" s="59" t="str">
        <x:f>IF(M21="K/月",(K21+L21)/2,IF(M21="万/年",(K21+L21)*10/24,""))</x:f>
      </x:c>
      <x:c r="P21" s="59" t="str">
        <x:f>IF(M21="K/月",(K21+L21)*IF(N21&gt;0,N21,12)/20,IF(M21="万/年",(K21+L21)/2,""))</x:f>
      </x:c>
      <x:c r="Q21" s="56" t="str">
        <x:v>未披露</x:v>
      </x:c>
      <x:c r="R21" s="56" t="str">
        <x:v>未披露</x:v>
      </x:c>
      <x:c r="S21" s="56" t="str">
        <x:v>公开信息未披露</x:v>
      </x:c>
      <x:c r="T21" s="56" t="str">
        <x:v>Agent架构、自进化、反思/数据飞轮、任务拆解、规划、工具调用、多Agent与效果调优。</x:v>
      </x:c>
      <x:c r="U21" s="56" t="str">
        <x:v>有界重试、Evaluator、best-so-far 与可诊断检索能支撑自进化/闭环故事。</x:v>
      </x:c>
      <x:c r="V21" s="56" t="str">
        <x:v>需要把当前项目提升到多Agent/在线学习与更大规模业务指标。</x:v>
      </x:c>
      <x:c r="W21" s="56" t="str">
        <x:v>https://jobs.bytedance.com/experienced/position/7633459021907167493/detail</x:v>
      </x:c>
      <x:c r="X21" s="56" t="str">
        <x:v>https://jobs.ultraai.site/jobs/bytedance/7633459021907167493</x:v>
      </x:c>
      <x:c r="Y21" s="56" t="str">
        <x:v>职先机页面称可申请免费内推；无公开码，需核验</x:v>
      </x:c>
      <x:c r="Z21" s="56" t="str">
        <x:v>A</x:v>
      </x:c>
      <x:c r="AA21" s="57" t="n">
        <x:v>46260</x:v>
      </x:c>
      <x:c r="AB21" s="56" t="str"/>
      <x:c r="AC21" s="60" t="n">
        <x:v>1</x:v>
      </x:c>
      <x:c r="AD21" s="60" t="n">
        <x:v>0.75</x:v>
      </x:c>
      <x:c r="AE21" s="60" t="n">
        <x:v>1</x:v>
      </x:c>
      <x:c r="AF21" s="60" t="n">
        <x:v>1</x:v>
      </x:c>
      <x:c r="AG21" s="60" t="n">
        <x:v>1</x:v>
      </x:c>
      <x:c r="AH21" s="60" t="n">
        <x:v>0.75</x:v>
      </x:c>
      <x:c r="AI21" s="60" t="n">
        <x:v>1</x:v>
      </x:c>
      <x:c r="AJ21" s="60" t="n">
        <x:v>1</x:v>
      </x:c>
      <x:c r="AK21" s="60" t="n">
        <x:v>1</x:v>
      </x:c>
      <x:c r="AL21" s="61" t="n">
        <x:f>AC21*'评分规则'!$B$4+AD21*'评分规则'!$B$5+AE21*'评分规则'!$B$6+AF21*'评分规则'!$B$7+AG21*'评分规则'!$B$8+AH21*'评分规则'!$B$9+AI21*'评分规则'!$B$10+AJ21*'评分规则'!$B$11+AK21*'评分规则'!$B$12</x:f>
        <x:v>93.75</x:v>
      </x:c>
      <x:c r="AM21" s="62" t="str">
        <x:f>IF(AL21&gt;='评分规则'!$F$4,"S",IF(AL21&gt;='评分规则'!$F$5,"A",IF(AL21&gt;='评分规则'!$F$6,"B","C")))</x:f>
        <x:v>S</x:v>
      </x:c>
      <x:c r="AN21" s="63" t="str">
        <x:v>否</x:v>
      </x:c>
      <x:c r="AO21" s="63" t="str">
        <x:v>待投递</x:v>
      </x:c>
      <x:c r="AP21" s="64"/>
      <x:c r="AQ21" s="63" t="str"/>
    </x:row>
    <x:row r="22" ht="66" customHeight="1">
      <x:c r="A22" s="56" t="str">
        <x:v>S008</x:v>
      </x:c>
      <x:c r="B22" s="56" t="str">
        <x:v>上海</x:v>
      </x:c>
      <x:c r="C22" s="56" t="str">
        <x:v>任仕达代招（医药研发平台）</x:v>
      </x:c>
      <x:c r="D22" s="56" t="str">
        <x:v>Pharma.AI / 科研与企业智能化</x:v>
      </x:c>
      <x:c r="E22" s="56" t="str">
        <x:v>AI Agent工程师</x:v>
      </x:c>
      <x:c r="F22" s="56" t="str">
        <x:v>社招/全职</x:v>
      </x:c>
      <x:c r="G22" s="56" t="str">
        <x:v>猎头代招；客户未具名</x:v>
      </x:c>
      <x:c r="H22" s="57" t="n">
        <x:v>46176</x:v>
      </x:c>
      <x:c r="I22" s="56" t="str">
        <x:v>正式工；页面标注截止 2026-08-31（尽快投）</x:v>
      </x:c>
      <x:c r="J22" s="58" t="str">
        <x:v>40–60万/年</x:v>
      </x:c>
      <x:c r="K22" s="59" t="n">
        <x:v>40</x:v>
      </x:c>
      <x:c r="L22" s="59" t="n">
        <x:v>60</x:v>
      </x:c>
      <x:c r="M22" s="58" t="str">
        <x:v>万/年</x:v>
      </x:c>
      <x:c r="N22" s="59"/>
      <x:c r="O22" s="59" t="n">
        <x:f>IF(M22="K/月",(K22+L22)/2,IF(M22="万/年",(K22+L22)*10/24,""))</x:f>
        <x:v>41.666666666666664</x:v>
      </x:c>
      <x:c r="P22" s="59" t="n">
        <x:f>IF(M22="K/月",(K22+L22)*IF(N22&gt;0,N22,12)/20,IF(M22="万/年",(K22+L22)/2,""))</x:f>
        <x:v>50</x:v>
      </x:c>
      <x:c r="Q22" s="56" t="str">
        <x:v>未披露</x:v>
      </x:c>
      <x:c r="R22" s="56" t="str">
        <x:v>未披露</x:v>
      </x:c>
      <x:c r="S22" s="56" t="str">
        <x:v>公开信息未披露</x:v>
      </x:c>
      <x:c r="T22" s="56" t="str">
        <x:v>3年以上；Python/FastAPI、LangChain/LangGraph、MCP/Skills、多Agent、安全护栏；AI4Science/医药加分。</x:v>
      </x:c>
      <x:c r="U22" s="56" t="str">
        <x:v>Agent工具链、MCP、企业流程、安全门禁和3年以上年限均匹配。</x:v>
      </x:c>
      <x:c r="V22" s="56" t="str">
        <x:v>生命科学域知识与本地模型部署需补；用工主体须向猎头确认。</x:v>
      </x:c>
      <x:c r="W22" s="56" t="str">
        <x:v>https://www.randstad.cn/jobs/ai-agent-gong-cheng-shi_shanghai_90M0149830_18305_CN/</x:v>
      </x:c>
      <x:c r="X22" s="56" t="str">
        <x:v>https://www.randstad.cn/jobs/ai-agent-gong-cheng-shi_shanghai_90M0149830_18305_CN/</x:v>
      </x:c>
      <x:c r="Y22" s="56" t="str">
        <x:v>无可验证公开码</x:v>
      </x:c>
      <x:c r="Z22" s="56" t="str">
        <x:v>B</x:v>
      </x:c>
      <x:c r="AA22" s="57" t="n">
        <x:v>46260</x:v>
      </x:c>
      <x:c r="AB22" s="56" t="str"/>
      <x:c r="AC22" s="60" t="n">
        <x:v>1</x:v>
      </x:c>
      <x:c r="AD22" s="60" t="n">
        <x:v>0.75</x:v>
      </x:c>
      <x:c r="AE22" s="60" t="n">
        <x:v>1</x:v>
      </x:c>
      <x:c r="AF22" s="60" t="n">
        <x:v>1</x:v>
      </x:c>
      <x:c r="AG22" s="60" t="n">
        <x:v>1</x:v>
      </x:c>
      <x:c r="AH22" s="60" t="n">
        <x:v>1</x:v>
      </x:c>
      <x:c r="AI22" s="60" t="n">
        <x:v>1</x:v>
      </x:c>
      <x:c r="AJ22" s="60" t="n">
        <x:v>1</x:v>
      </x:c>
      <x:c r="AK22" s="60" t="n">
        <x:v>0.5</x:v>
      </x:c>
      <x:c r="AL22" s="61" t="n">
        <x:f>AC22*'评分规则'!$B$4+AD22*'评分规则'!$B$5+AE22*'评分规则'!$B$6+AF22*'评分规则'!$B$7+AG22*'评分规则'!$B$8+AH22*'评分规则'!$B$9+AI22*'评分规则'!$B$10+AJ22*'评分规则'!$B$11+AK22*'评分规则'!$B$12</x:f>
        <x:v>93.75</x:v>
      </x:c>
      <x:c r="AM22" s="62" t="str">
        <x:f>IF(AL22&gt;='评分规则'!$F$4,"S",IF(AL22&gt;='评分规则'!$F$5,"A",IF(AL22&gt;='评分规则'!$F$6,"B","C")))</x:f>
        <x:v>S</x:v>
      </x:c>
      <x:c r="AN22" s="63" t="str">
        <x:v>否</x:v>
      </x:c>
      <x:c r="AO22" s="63" t="str">
        <x:v>待投递</x:v>
      </x:c>
      <x:c r="AP22" s="64"/>
      <x:c r="AQ22" s="63" t="str"/>
    </x:row>
    <x:row r="23" ht="66" customHeight="1">
      <x:c r="A23" s="56" t="str">
        <x:v>SZ003</x:v>
      </x:c>
      <x:c r="B23" s="56" t="str">
        <x:v>深圳</x:v>
      </x:c>
      <x:c r="C23" s="56" t="str">
        <x:v>招银网络科技</x:v>
      </x:c>
      <x:c r="D23" s="56" t="str">
        <x:v>AI应用 / 招商银行科技</x:v>
      </x:c>
      <x:c r="E23" s="56" t="str">
        <x:v>AI Agent开发工程师</x:v>
      </x:c>
      <x:c r="F23" s="56" t="str">
        <x:v>社招/全职</x:v>
      </x:c>
      <x:c r="G23" s="56" t="str">
        <x:v>公司直招</x:v>
      </x:c>
      <x:c r="H23" s="57" t="n">
        <x:v>46240</x:v>
      </x:c>
      <x:c r="I23" s="56" t="str">
        <x:v>页面在招；投递前再次确认</x:v>
      </x:c>
      <x:c r="J23" s="58" t="str">
        <x:v>未披露</x:v>
      </x:c>
      <x:c r="K23" s="59"/>
      <x:c r="L23" s="59"/>
      <x:c r="M23" s="58" t="str">
        <x:v>未披露</x:v>
      </x:c>
      <x:c r="N23" s="59"/>
      <x:c r="O23" s="59" t="str">
        <x:f>IF(M23="K/月",(K23+L23)/2,IF(M23="万/年",(K23+L23)*10/24,""))</x:f>
      </x:c>
      <x:c r="P23" s="59" t="str">
        <x:f>IF(M23="K/月",(K23+L23)*IF(N23&gt;0,N23,12)/20,IF(M23="万/年",(K23+L23)/2,""))</x:f>
      </x:c>
      <x:c r="Q23" s="56" t="str">
        <x:v>未披露</x:v>
      </x:c>
      <x:c r="R23" s="56" t="str">
        <x:v>未披露</x:v>
      </x:c>
      <x:c r="S23" s="56" t="str">
        <x:v>第三方公开内推帖称“极少加班”（低置信；面试核验）</x:v>
      </x:c>
      <x:c r="T23" s="56" t="str">
        <x:v>Python Agent、RAG/模型服务、Java Spring、微服务、Docker/K8s、全栈联调、带小团队与高压交付。</x:v>
      </x:c>
      <x:c r="U23" s="56" t="str">
        <x:v>企业级后端、Agent、K8s、全栈与生产交付吻合。</x:v>
      </x:c>
      <x:c r="V23" s="56" t="str">
        <x:v>Java Spring与带队证据需加强；金融合规/数据安全准备案例。</x:v>
      </x:c>
      <x:c r="W23" s="56" t="str">
        <x:v>https://cmbntjob.cmbchina.com</x:v>
      </x:c>
      <x:c r="X23" s="56" t="str">
        <x:v>https://www.yinhangzhaopin.com/zsyh/2026-08-06/223036.htm</x:v>
      </x:c>
      <x:c r="Y23" s="56" t="str">
        <x:v>AJWQQG（牛客公开帖称2026有效；非官方验证，使用前确认）</x:v>
      </x:c>
      <x:c r="Z23" s="56" t="str">
        <x:v>B</x:v>
      </x:c>
      <x:c r="AA23" s="57" t="n">
        <x:v>46260</x:v>
      </x:c>
      <x:c r="AB23" s="56" t="str"/>
      <x:c r="AC23" s="60" t="n">
        <x:v>1</x:v>
      </x:c>
      <x:c r="AD23" s="60" t="n">
        <x:v>1</x:v>
      </x:c>
      <x:c r="AE23" s="60" t="n">
        <x:v>1</x:v>
      </x:c>
      <x:c r="AF23" s="60" t="n">
        <x:v>1</x:v>
      </x:c>
      <x:c r="AG23" s="60" t="n">
        <x:v>0.5</x:v>
      </x:c>
      <x:c r="AH23" s="60" t="n">
        <x:v>1</x:v>
      </x:c>
      <x:c r="AI23" s="60" t="n">
        <x:v>1</x:v>
      </x:c>
      <x:c r="AJ23" s="60" t="n">
        <x:v>1</x:v>
      </x:c>
      <x:c r="AK23" s="60" t="n">
        <x:v>0.75</x:v>
      </x:c>
      <x:c r="AL23" s="61" t="n">
        <x:f>AC23*'评分规则'!$B$4+AD23*'评分规则'!$B$5+AE23*'评分规则'!$B$6+AF23*'评分规则'!$B$7+AG23*'评分规则'!$B$8+AH23*'评分规则'!$B$9+AI23*'评分规则'!$B$10+AJ23*'评分规则'!$B$11+AK23*'评分规则'!$B$12</x:f>
        <x:v>93.75</x:v>
      </x:c>
      <x:c r="AM23" s="62" t="str">
        <x:f>IF(AL23&gt;='评分规则'!$F$4,"S",IF(AL23&gt;='评分规则'!$F$5,"A",IF(AL23&gt;='评分规则'!$F$6,"B","C")))</x:f>
        <x:v>S</x:v>
      </x:c>
      <x:c r="AN23" s="63" t="str">
        <x:v>否</x:v>
      </x:c>
      <x:c r="AO23" s="63" t="str">
        <x:v>待投递</x:v>
      </x:c>
      <x:c r="AP23" s="64"/>
      <x:c r="AQ23" s="63" t="str"/>
    </x:row>
    <x:row r="24" ht="66" customHeight="1">
      <x:c r="A24" s="56" t="str">
        <x:v>SZ008</x:v>
      </x:c>
      <x:c r="B24" s="56" t="str">
        <x:v>深圳</x:v>
      </x:c>
      <x:c r="C24" s="56" t="str">
        <x:v>绿联科技 UGREEN</x:v>
      </x:c>
      <x:c r="D24" s="56" t="str">
        <x:v>NAS业务</x:v>
      </x:c>
      <x:c r="E24" s="56" t="str">
        <x:v>AI Agent前端开发工程师</x:v>
      </x:c>
      <x:c r="F24" s="56" t="str">
        <x:v>社招/全职</x:v>
      </x:c>
      <x:c r="G24" s="56" t="str">
        <x:v>公司直招</x:v>
      </x:c>
      <x:c r="H24" s="57" t="n">
        <x:v>46197</x:v>
      </x:c>
      <x:c r="I24" s="56" t="str">
        <x:v>页面在招；投递前再次确认</x:v>
      </x:c>
      <x:c r="J24" s="58" t="str">
        <x:v>20–35K × 14薪</x:v>
      </x:c>
      <x:c r="K24" s="59" t="n">
        <x:v>20</x:v>
      </x:c>
      <x:c r="L24" s="59" t="n">
        <x:v>35</x:v>
      </x:c>
      <x:c r="M24" s="58" t="str">
        <x:v>K/月</x:v>
      </x:c>
      <x:c r="N24" s="59" t="n">
        <x:v>14</x:v>
      </x:c>
      <x:c r="O24" s="59" t="n">
        <x:f>IF(M24="K/月",(K24+L24)/2,IF(M24="万/年",(K24+L24)*10/24,""))</x:f>
        <x:v>27.5</x:v>
      </x:c>
      <x:c r="P24" s="59" t="n">
        <x:f>IF(M24="K/月",(K24+L24)*IF(N24&gt;0,N24,12)/20,IF(M24="万/年",(K24+L24)/2,""))</x:f>
        <x:v>38.5</x:v>
      </x:c>
      <x:c r="Q24" s="56" t="str">
        <x:v>未披露</x:v>
      </x:c>
      <x:c r="R24" s="56" t="str">
        <x:v>未披露</x:v>
      </x:c>
      <x:c r="S24" s="56" t="str">
        <x:v>公开信息未披露</x:v>
      </x:c>
      <x:c r="T24" s="56" t="str">
        <x:v>1-3年；Agent前端+Node服务、规划编排、Tool/Function Calling、Skill/MCP、上下文/记忆/RAG。</x:v>
      </x:c>
      <x:c r="U24" s="56" t="str">
        <x:v>React/JavaScript、SSE交互、MCP、Agent与全栈经验非常适配。</x:v>
      </x:c>
      <x:c r="V24" s="56" t="str">
        <x:v>岗位名偏前端，需确认后端/Agent核心占比；你的年限可能高配。</x:v>
      </x:c>
      <x:c r="W24" s="56" t="str">
        <x:v>https://www.liepin.com/job/1983680297.shtml</x:v>
      </x:c>
      <x:c r="X24" s="56" t="str">
        <x:v>https://www.liepin.com/job/1983680297.shtml</x:v>
      </x:c>
      <x:c r="Y24" s="56" t="str">
        <x:v>无可验证公开码</x:v>
      </x:c>
      <x:c r="Z24" s="56" t="str">
        <x:v>B</x:v>
      </x:c>
      <x:c r="AA24" s="57" t="n">
        <x:v>46260</x:v>
      </x:c>
      <x:c r="AB24" s="56" t="str"/>
      <x:c r="AC24" s="60" t="n">
        <x:v>1</x:v>
      </x:c>
      <x:c r="AD24" s="60" t="n">
        <x:v>1</x:v>
      </x:c>
      <x:c r="AE24" s="60" t="n">
        <x:v>1</x:v>
      </x:c>
      <x:c r="AF24" s="60" t="n">
        <x:v>1</x:v>
      </x:c>
      <x:c r="AG24" s="60" t="n">
        <x:v>0.5</x:v>
      </x:c>
      <x:c r="AH24" s="60" t="n">
        <x:v>1</x:v>
      </x:c>
      <x:c r="AI24" s="60" t="n">
        <x:v>1</x:v>
      </x:c>
      <x:c r="AJ24" s="60" t="n">
        <x:v>1</x:v>
      </x:c>
      <x:c r="AK24" s="60" t="n">
        <x:v>0.75</x:v>
      </x:c>
      <x:c r="AL24" s="61" t="n">
        <x:f>AC24*'评分规则'!$B$4+AD24*'评分规则'!$B$5+AE24*'评分规则'!$B$6+AF24*'评分规则'!$B$7+AG24*'评分规则'!$B$8+AH24*'评分规则'!$B$9+AI24*'评分规则'!$B$10+AJ24*'评分规则'!$B$11+AK24*'评分规则'!$B$12</x:f>
        <x:v>93.75</x:v>
      </x:c>
      <x:c r="AM24" s="62" t="str">
        <x:f>IF(AL24&gt;='评分规则'!$F$4,"S",IF(AL24&gt;='评分规则'!$F$5,"A",IF(AL24&gt;='评分规则'!$F$6,"B","C")))</x:f>
        <x:v>S</x:v>
      </x:c>
      <x:c r="AN24" s="63" t="str">
        <x:v>否</x:v>
      </x:c>
      <x:c r="AO24" s="63" t="str">
        <x:v>待投递</x:v>
      </x:c>
      <x:c r="AP24" s="64"/>
      <x:c r="AQ24" s="63" t="str"/>
    </x:row>
    <x:row r="25" ht="66" customHeight="1">
      <x:c r="A25" s="56" t="str">
        <x:v>S003</x:v>
      </x:c>
      <x:c r="B25" s="56" t="str">
        <x:v>上海</x:v>
      </x:c>
      <x:c r="C25" s="56" t="str">
        <x:v>拼多多</x:v>
      </x:c>
      <x:c r="D25" s="56" t="str">
        <x:v>商业化</x:v>
      </x:c>
      <x:c r="E25" s="56" t="str">
        <x:v>大模型应用开发工程师</x:v>
      </x:c>
      <x:c r="F25" s="56" t="str">
        <x:v>社招/全职</x:v>
      </x:c>
      <x:c r="G25" s="56" t="str">
        <x:v>公司直招</x:v>
      </x:c>
      <x:c r="H25" s="57" t="n">
        <x:v>46154</x:v>
      </x:c>
      <x:c r="I25" s="56" t="str">
        <x:v>页面在招；投递前再次确认</x:v>
      </x:c>
      <x:c r="J25" s="58" t="str">
        <x:v>未披露</x:v>
      </x:c>
      <x:c r="K25" s="59"/>
      <x:c r="L25" s="59"/>
      <x:c r="M25" s="58" t="str">
        <x:v>未披露</x:v>
      </x:c>
      <x:c r="N25" s="59"/>
      <x:c r="O25" s="59" t="str">
        <x:f>IF(M25="K/月",(K25+L25)/2,IF(M25="万/年",(K25+L25)*10/24,""))</x:f>
      </x:c>
      <x:c r="P25" s="59" t="str">
        <x:f>IF(M25="K/月",(K25+L25)*IF(N25&gt;0,N25,12)/20,IF(M25="万/年",(K25+L25)/2,""))</x:f>
      </x:c>
      <x:c r="Q25" s="56" t="str">
        <x:v>未披露</x:v>
      </x:c>
      <x:c r="R25" s="56" t="str">
        <x:v>未披露</x:v>
      </x:c>
      <x:c r="S25" s="56" t="str">
        <x:v>公开信息未披露</x:v>
      </x:c>
      <x:c r="T25" s="56" t="str">
        <x:v>3年以上；电商搜索/推荐/广告 Agent、RAG、高并发分布式、微服务/缓存/MQ、Python/Java/C++。</x:v>
      </x:c>
      <x:c r="U25" s="56" t="str">
        <x:v>微软广告业务、检索融合、高并发后端和Agent应用形成稀缺组合。</x:v>
      </x:c>
      <x:c r="V25" s="56" t="str">
        <x:v>算法工程/微调与电商推荐细节需准备；工时强度务必面试核验。</x:v>
      </x:c>
      <x:c r="W25" s="56" t="str">
        <x:v>https://careers.pddglobalhr.com/jobs</x:v>
      </x:c>
      <x:c r="X25" s="56" t="str">
        <x:v>https://jobs.ultraai.site/jobs/pdd/T022364</x:v>
      </x:c>
      <x:c r="Y25" s="56" t="str">
        <x:v>无可验证公开码</x:v>
      </x:c>
      <x:c r="Z25" s="56" t="str">
        <x:v>A</x:v>
      </x:c>
      <x:c r="AA25" s="57" t="n">
        <x:v>46260</x:v>
      </x:c>
      <x:c r="AB25" s="56" t="str"/>
      <x:c r="AC25" s="60" t="n">
        <x:v>1</x:v>
      </x:c>
      <x:c r="AD25" s="60" t="n">
        <x:v>1</x:v>
      </x:c>
      <x:c r="AE25" s="60" t="n">
        <x:v>1</x:v>
      </x:c>
      <x:c r="AF25" s="60" t="n">
        <x:v>0.75</x:v>
      </x:c>
      <x:c r="AG25" s="60" t="n">
        <x:v>0.5</x:v>
      </x:c>
      <x:c r="AH25" s="60" t="n">
        <x:v>1</x:v>
      </x:c>
      <x:c r="AI25" s="60" t="n">
        <x:v>1</x:v>
      </x:c>
      <x:c r="AJ25" s="60" t="n">
        <x:v>1</x:v>
      </x:c>
      <x:c r="AK25" s="60" t="n">
        <x:v>1</x:v>
      </x:c>
      <x:c r="AL25" s="61" t="n">
        <x:f>AC25*'评分规则'!$B$4+AD25*'评分规则'!$B$5+AE25*'评分规则'!$B$6+AF25*'评分规则'!$B$7+AG25*'评分规则'!$B$8+AH25*'评分规则'!$B$9+AI25*'评分规则'!$B$10+AJ25*'评分规则'!$B$11+AK25*'评分规则'!$B$12</x:f>
        <x:v>92.5</x:v>
      </x:c>
      <x:c r="AM25" s="62" t="str">
        <x:f>IF(AL25&gt;='评分规则'!$F$4,"S",IF(AL25&gt;='评分规则'!$F$5,"A",IF(AL25&gt;='评分规则'!$F$6,"B","C")))</x:f>
        <x:v>S</x:v>
      </x:c>
      <x:c r="AN25" s="63" t="str">
        <x:v>否</x:v>
      </x:c>
      <x:c r="AO25" s="63" t="str">
        <x:v>待投递</x:v>
      </x:c>
      <x:c r="AP25" s="64"/>
      <x:c r="AQ25" s="63" t="str"/>
    </x:row>
    <x:row r="26" ht="66" customHeight="1">
      <x:c r="A26" s="56" t="str">
        <x:v>SZ005</x:v>
      </x:c>
      <x:c r="B26" s="56" t="str">
        <x:v>深圳</x:v>
      </x:c>
      <x:c r="C26" s="56" t="str">
        <x:v>云从科技</x:v>
      </x:c>
      <x:c r="D26" s="56" t="str">
        <x:v>RAG/知识库应用</x:v>
      </x:c>
      <x:c r="E26" s="56" t="str">
        <x:v>大模型应用开发工程师（RAG/知识库）</x:v>
      </x:c>
      <x:c r="F26" s="56" t="str">
        <x:v>社招/全职</x:v>
      </x:c>
      <x:c r="G26" s="56" t="str">
        <x:v>公司直招</x:v>
      </x:c>
      <x:c r="H26" s="57" t="n">
        <x:v>46129</x:v>
      </x:c>
      <x:c r="I26" s="56" t="str">
        <x:v>页面在招；投递前再次确认</x:v>
      </x:c>
      <x:c r="J26" s="58" t="str">
        <x:v>25–40万/年</x:v>
      </x:c>
      <x:c r="K26" s="59" t="n">
        <x:v>25</x:v>
      </x:c>
      <x:c r="L26" s="59" t="n">
        <x:v>40</x:v>
      </x:c>
      <x:c r="M26" s="58" t="str">
        <x:v>万/年</x:v>
      </x:c>
      <x:c r="N26" s="59"/>
      <x:c r="O26" s="59" t="n">
        <x:f>IF(M26="K/月",(K26+L26)/2,IF(M26="万/年",(K26+L26)*10/24,""))</x:f>
        <x:v>27.083333333333332</x:v>
      </x:c>
      <x:c r="P26" s="59" t="n">
        <x:f>IF(M26="K/月",(K26+L26)*IF(N26&gt;0,N26,12)/20,IF(M26="万/年",(K26+L26)/2,""))</x:f>
        <x:v>32.5</x:v>
      </x:c>
      <x:c r="Q26" s="56" t="str">
        <x:v>未披露</x:v>
      </x:c>
      <x:c r="R26" s="56" t="str">
        <x:v>未披露</x:v>
      </x:c>
      <x:c r="S26" s="56" t="str">
        <x:v>公开信息未披露</x:v>
      </x:c>
      <x:c r="T26" s="56" t="str">
        <x:v>3年以上；多租户RAG、混合检索/重排/HyDE、Qwen/Llama微调、vLLM/TGI、Agent多轮澄清、Docker/K8s。</x:v>
      </x:c>
      <x:c r="U26" s="56" t="str">
        <x:v>混合检索、RRF、拒答/澄清、引用与K8s强匹配。</x:v>
      </x:c>
      <x:c r="V26" s="56" t="str">
        <x:v>LoRA/vLLM与多租户权限需补；来源为猎头站，需核验岗位仍有效。</x:v>
      </x:c>
      <x:c r="W26" s="56" t="str">
        <x:v>https://www.haolietou.com/j_334607</x:v>
      </x:c>
      <x:c r="X26" s="56" t="str">
        <x:v>https://www.haolietou.com/j_334607</x:v>
      </x:c>
      <x:c r="Y26" s="56" t="str">
        <x:v>无可验证公开码</x:v>
      </x:c>
      <x:c r="Z26" s="56" t="str">
        <x:v>B</x:v>
      </x:c>
      <x:c r="AA26" s="57" t="n">
        <x:v>46260</x:v>
      </x:c>
      <x:c r="AB26" s="56" t="str"/>
      <x:c r="AC26" s="60" t="n">
        <x:v>1</x:v>
      </x:c>
      <x:c r="AD26" s="60" t="n">
        <x:v>1</x:v>
      </x:c>
      <x:c r="AE26" s="60" t="n">
        <x:v>1</x:v>
      </x:c>
      <x:c r="AF26" s="60" t="n">
        <x:v>0.75</x:v>
      </x:c>
      <x:c r="AG26" s="60" t="n">
        <x:v>0.75</x:v>
      </x:c>
      <x:c r="AH26" s="60" t="n">
        <x:v>1</x:v>
      </x:c>
      <x:c r="AI26" s="60" t="n">
        <x:v>1</x:v>
      </x:c>
      <x:c r="AJ26" s="60" t="n">
        <x:v>1</x:v>
      </x:c>
      <x:c r="AK26" s="60" t="n">
        <x:v>0.5</x:v>
      </x:c>
      <x:c r="AL26" s="61" t="n">
        <x:f>AC26*'评分规则'!$B$4+AD26*'评分规则'!$B$5+AE26*'评分规则'!$B$6+AF26*'评分规则'!$B$7+AG26*'评分规则'!$B$8+AH26*'评分规则'!$B$9+AI26*'评分规则'!$B$10+AJ26*'评分规则'!$B$11+AK26*'评分规则'!$B$12</x:f>
        <x:v>92.5</x:v>
      </x:c>
      <x:c r="AM26" s="62" t="str">
        <x:f>IF(AL26&gt;='评分规则'!$F$4,"S",IF(AL26&gt;='评分规则'!$F$5,"A",IF(AL26&gt;='评分规则'!$F$6,"B","C")))</x:f>
        <x:v>S</x:v>
      </x:c>
      <x:c r="AN26" s="63" t="str">
        <x:v>否</x:v>
      </x:c>
      <x:c r="AO26" s="63" t="str">
        <x:v>待投递</x:v>
      </x:c>
      <x:c r="AP26" s="64"/>
      <x:c r="AQ26" s="63" t="str"/>
    </x:row>
    <x:row r="27" ht="66" customHeight="1">
      <x:c r="A27" s="56" t="str">
        <x:v>H007</x:v>
      </x:c>
      <x:c r="B27" s="56" t="str">
        <x:v>杭州</x:v>
      </x:c>
      <x:c r="C27" s="56" t="str">
        <x:v>景杰生物</x:v>
      </x:c>
      <x:c r="D27" s="56" t="str">
        <x:v>AI平台 / 生物信息</x:v>
      </x:c>
      <x:c r="E27" s="56" t="str">
        <x:v>AI开发工程师（Agent方向）（J10194）</x:v>
      </x:c>
      <x:c r="F27" s="56" t="str">
        <x:v>社招/全职</x:v>
      </x:c>
      <x:c r="G27" s="56" t="str">
        <x:v>公司直招</x:v>
      </x:c>
      <x:c r="H27" s="57"/>
      <x:c r="I27" s="56" t="str">
        <x:v>页面在招；投递前再次确认</x:v>
      </x:c>
      <x:c r="J27" s="58" t="str">
        <x:v>10–15K/月</x:v>
      </x:c>
      <x:c r="K27" s="59" t="n">
        <x:v>10</x:v>
      </x:c>
      <x:c r="L27" s="59" t="n">
        <x:v>15</x:v>
      </x:c>
      <x:c r="M27" s="58" t="str">
        <x:v>K/月</x:v>
      </x:c>
      <x:c r="N27" s="59"/>
      <x:c r="O27" s="59" t="n">
        <x:f>IF(M27="K/月",(K27+L27)/2,IF(M27="万/年",(K27+L27)*10/24,""))</x:f>
        <x:v>12.5</x:v>
      </x:c>
      <x:c r="P27" s="59" t="n">
        <x:f>IF(M27="K/月",(K27+L27)*IF(N27&gt;0,N27,12)/20,IF(M27="万/年",(K27+L27)/2,""))</x:f>
        <x:v>15</x:v>
      </x:c>
      <x:c r="Q27" s="56" t="str">
        <x:v>未披露</x:v>
      </x:c>
      <x:c r="R27" s="56" t="str">
        <x:v>未披露</x:v>
      </x:c>
      <x:c r="S27" s="56" t="str">
        <x:v>公开信息未披露</x:v>
      </x:c>
      <x:c r="T27" s="56" t="str">
        <x:v>3-5年；Planner/Executor/Tool/Evaluator多Agent；通信、状态、重试回退、日志轨迹、权限与成本监控。</x:v>
      </x:c>
      <x:c r="U27" s="56" t="str">
        <x:v>你的有界重试、Evaluator、trace与Agent编排直接对应。</x:v>
      </x:c>
      <x:c r="V27" s="56" t="str">
        <x:v>薪资偏低；招聘人数999疑似平台字段异常，需核验真实HC与团队。</x:v>
      </x:c>
      <x:c r="W27" s="56" t="str">
        <x:v>https://www.zhaopin.com/jobdetail/CC408452810J40988341304.htm</x:v>
      </x:c>
      <x:c r="X27" s="56" t="str">
        <x:v>https://www.zhaopin.com/jobdetail/CC408452810J40988341304.htm</x:v>
      </x:c>
      <x:c r="Y27" s="56" t="str">
        <x:v>无可验证公开码</x:v>
      </x:c>
      <x:c r="Z27" s="56" t="str">
        <x:v>B</x:v>
      </x:c>
      <x:c r="AA27" s="57" t="n">
        <x:v>46260</x:v>
      </x:c>
      <x:c r="AB27" s="56" t="str"/>
      <x:c r="AC27" s="60" t="n">
        <x:v>1</x:v>
      </x:c>
      <x:c r="AD27" s="60" t="n">
        <x:v>0.5</x:v>
      </x:c>
      <x:c r="AE27" s="60" t="n">
        <x:v>1</x:v>
      </x:c>
      <x:c r="AF27" s="60" t="n">
        <x:v>1</x:v>
      </x:c>
      <x:c r="AG27" s="60" t="n">
        <x:v>1</x:v>
      </x:c>
      <x:c r="AH27" s="60" t="n">
        <x:v>1</x:v>
      </x:c>
      <x:c r="AI27" s="60" t="n">
        <x:v>1</x:v>
      </x:c>
      <x:c r="AJ27" s="60" t="n">
        <x:v>1</x:v>
      </x:c>
      <x:c r="AK27" s="60" t="n">
        <x:v>0.75</x:v>
      </x:c>
      <x:c r="AL27" s="61" t="n">
        <x:f>AC27*'评分规则'!$B$4+AD27*'评分规则'!$B$5+AE27*'评分规则'!$B$6+AF27*'评分规则'!$B$7+AG27*'评分规则'!$B$8+AH27*'评分规则'!$B$9+AI27*'评分规则'!$B$10+AJ27*'评分规则'!$B$11+AK27*'评分规则'!$B$12</x:f>
        <x:v>91.25</x:v>
      </x:c>
      <x:c r="AM27" s="62" t="str">
        <x:f>IF(AL27&gt;='评分规则'!$F$4,"S",IF(AL27&gt;='评分规则'!$F$5,"A",IF(AL27&gt;='评分规则'!$F$6,"B","C")))</x:f>
        <x:v>S</x:v>
      </x:c>
      <x:c r="AN27" s="63" t="str">
        <x:v>否</x:v>
      </x:c>
      <x:c r="AO27" s="63" t="str">
        <x:v>待投递</x:v>
      </x:c>
      <x:c r="AP27" s="64"/>
      <x:c r="AQ27" s="63" t="str"/>
    </x:row>
    <x:row r="28" ht="66" customHeight="1">
      <x:c r="A28" s="56" t="str">
        <x:v>SU006</x:v>
      </x:c>
      <x:c r="B28" s="56" t="str">
        <x:v>苏州</x:v>
      </x:c>
      <x:c r="C28" s="56" t="str">
        <x:v>项目制客户（猿急送）</x:v>
      </x:c>
      <x:c r="D28" s="56" t="str">
        <x:v>垂直大模型应用</x:v>
      </x:c>
      <x:c r="E28" s="56" t="str">
        <x:v>兼职AI应用开发工程师</x:v>
      </x:c>
      <x:c r="F28" s="56" t="str">
        <x:v>项目制/兼职</x:v>
      </x:c>
      <x:c r="G28" s="56" t="str">
        <x:v>平台项目；客户未具名</x:v>
      </x:c>
      <x:c r="H28" s="57"/>
      <x:c r="I28" s="56" t="str">
        <x:v>页面在招；投递前再次确认</x:v>
      </x:c>
      <x:c r="J28" s="58" t="str">
        <x:v>800元/日；预计15天/总价1.2万</x:v>
      </x:c>
      <x:c r="K28" s="59" t="n">
        <x:v>800</x:v>
      </x:c>
      <x:c r="L28" s="59" t="n">
        <x:v>800</x:v>
      </x:c>
      <x:c r="M28" s="58" t="str">
        <x:v>元/日</x:v>
      </x:c>
      <x:c r="N28" s="59"/>
      <x:c r="O28" s="59" t="str">
        <x:f>IF(M28="K/月",(K28+L28)/2,IF(M28="万/年",(K28+L28)*10/24,""))</x:f>
      </x:c>
      <x:c r="P28" s="59" t="str">
        <x:f>IF(M28="K/月",(K28+L28)*IF(N28&gt;0,N28,12)/20,IF(M28="万/年",(K28+L28)/2,""))</x:f>
      </x:c>
      <x:c r="Q28" s="56" t="str">
        <x:v>全国远程（项目制）</x:v>
      </x:c>
      <x:c r="R28" s="56" t="str">
        <x:v>预计工时15天（平台信息）</x:v>
      </x:c>
      <x:c r="S28" s="56" t="str">
        <x:v>公开信息未披露</x:v>
      </x:c>
      <x:c r="T28" s="56" t="str">
        <x:v>3年以上软件+1年以上AI；RAG混合检索、Agent规划/工具/记忆、LoRA；教育/政务等垂域。</x:v>
      </x:c>
      <x:c r="U28" s="56" t="str">
        <x:v>可作为远程副项目补充国内商业案例。</x:v>
      </x:c>
      <x:c r="V28" s="56" t="str">
        <x:v>非正式全职、交付边界与付款保障需审查；不可替代主要求职。</x:v>
      </x:c>
      <x:c r="W28" s="56" t="str">
        <x:v>https://www.yuanjisong.com/job/159403</x:v>
      </x:c>
      <x:c r="X28" s="56" t="str">
        <x:v>https://www.yuanjisong.com/job/159403</x:v>
      </x:c>
      <x:c r="Y28" s="56" t="str">
        <x:v>无可验证公开码</x:v>
      </x:c>
      <x:c r="Z28" s="56" t="str">
        <x:v>C</x:v>
      </x:c>
      <x:c r="AA28" s="57" t="n">
        <x:v>46260</x:v>
      </x:c>
      <x:c r="AB28" s="56" t="str"/>
      <x:c r="AC28" s="60" t="n">
        <x:v>1</x:v>
      </x:c>
      <x:c r="AD28" s="60" t="n">
        <x:v>1</x:v>
      </x:c>
      <x:c r="AE28" s="60" t="n">
        <x:v>1</x:v>
      </x:c>
      <x:c r="AF28" s="60" t="n">
        <x:v>1</x:v>
      </x:c>
      <x:c r="AG28" s="60" t="n">
        <x:v>0.5</x:v>
      </x:c>
      <x:c r="AH28" s="60" t="n">
        <x:v>1</x:v>
      </x:c>
      <x:c r="AI28" s="60" t="n">
        <x:v>1</x:v>
      </x:c>
      <x:c r="AJ28" s="60" t="n">
        <x:v>1</x:v>
      </x:c>
      <x:c r="AK28" s="60" t="n">
        <x:v>0.25</x:v>
      </x:c>
      <x:c r="AL28" s="61" t="n">
        <x:f>AC28*'评分规则'!$B$4+AD28*'评分规则'!$B$5+AE28*'评分规则'!$B$6+AF28*'评分规则'!$B$7+AG28*'评分规则'!$B$8+AH28*'评分规则'!$B$9+AI28*'评分规则'!$B$10+AJ28*'评分规则'!$B$11+AK28*'评分规则'!$B$12</x:f>
        <x:v>91.25</x:v>
      </x:c>
      <x:c r="AM28" s="62" t="str">
        <x:f>IF(AL28&gt;='评分规则'!$F$4,"S",IF(AL28&gt;='评分规则'!$F$5,"A",IF(AL28&gt;='评分规则'!$F$6,"B","C")))</x:f>
        <x:v>S</x:v>
      </x:c>
      <x:c r="AN28" s="63" t="str">
        <x:v>否</x:v>
      </x:c>
      <x:c r="AO28" s="63" t="str">
        <x:v>待投递</x:v>
      </x:c>
      <x:c r="AP28" s="64"/>
      <x:c r="AQ28" s="63" t="str"/>
    </x:row>
    <x:row r="29" ht="66" customHeight="1">
      <x:c r="A29" s="56" t="str">
        <x:v>B003</x:v>
      </x:c>
      <x:c r="B29" s="56" t="str">
        <x:v>北京</x:v>
      </x:c>
      <x:c r="C29" s="56" t="str">
        <x:v>百度</x:v>
      </x:c>
      <x:c r="D29" s="56" t="str">
        <x:v>ACG / 百度搭子 DuMate</x:v>
      </x:c>
      <x:c r="E29" s="56" t="str">
        <x:v>Agent后端研发工程师（J103882）</x:v>
      </x:c>
      <x:c r="F29" s="56" t="str">
        <x:v>社招/全职</x:v>
      </x:c>
      <x:c r="G29" s="56" t="str">
        <x:v>公司直招</x:v>
      </x:c>
      <x:c r="H29" s="57" t="n">
        <x:v>46232</x:v>
      </x:c>
      <x:c r="I29" s="56" t="str">
        <x:v>页面在招；投递前再次确认</x:v>
      </x:c>
      <x:c r="J29" s="58" t="str">
        <x:v>未披露</x:v>
      </x:c>
      <x:c r="K29" s="59"/>
      <x:c r="L29" s="59"/>
      <x:c r="M29" s="58" t="str">
        <x:v>未披露</x:v>
      </x:c>
      <x:c r="N29" s="59"/>
      <x:c r="O29" s="59" t="str">
        <x:f>IF(M29="K/月",(K29+L29)/2,IF(M29="万/年",(K29+L29)*10/24,""))</x:f>
      </x:c>
      <x:c r="P29" s="59" t="str">
        <x:f>IF(M29="K/月",(K29+L29)*IF(N29&gt;0,N29,12)/20,IF(M29="万/年",(K29+L29)/2,""))</x:f>
      </x:c>
      <x:c r="Q29" s="56" t="str">
        <x:v>未披露</x:v>
      </x:c>
      <x:c r="R29" s="56" t="str">
        <x:v>未披露</x:v>
      </x:c>
      <x:c r="S29" s="56" t="str">
        <x:v>公开信息未披露</x:v>
      </x:c>
      <x:c r="T29" s="56" t="str">
        <x:v>Agent 网关、推理链路、高性能链路、数据闭环、Agent Infra/Harness；系统设计、测试、部署与运维。</x:v>
      </x:c>
      <x:c r="U29" s="56" t="str">
        <x:v>强后端、Agent Harness、可观测与闭环评测是你的优势组合。</x:v>
      </x:c>
      <x:c r="V29" s="56" t="str">
        <x:v>官方页面未完整展示任职要求；面试前核验主要语言与级别。</x:v>
      </x:c>
      <x:c r="W29" s="56" t="str">
        <x:v>https://talent.baidu.com/jobs/detail/SOCIAL/d1876313-6604-4e8d-bbcc-0dca5be4e51b</x:v>
      </x:c>
      <x:c r="X29" s="56" t="str">
        <x:v>https://talent.baidu.com/jobs/detail/SOCIAL/d1876313-6604-4e8d-bbcc-0dca5be4e51b</x:v>
      </x:c>
      <x:c r="Y29" s="56" t="str">
        <x:v>无可验证公开码</x:v>
      </x:c>
      <x:c r="Z29" s="56" t="str">
        <x:v>A</x:v>
      </x:c>
      <x:c r="AA29" s="57" t="n">
        <x:v>46260</x:v>
      </x:c>
      <x:c r="AB29" s="56" t="str"/>
      <x:c r="AC29" s="60" t="n">
        <x:v>1</x:v>
      </x:c>
      <x:c r="AD29" s="60" t="n">
        <x:v>0.5</x:v>
      </x:c>
      <x:c r="AE29" s="60" t="n">
        <x:v>1</x:v>
      </x:c>
      <x:c r="AF29" s="60" t="n">
        <x:v>1</x:v>
      </x:c>
      <x:c r="AG29" s="60" t="n">
        <x:v>1</x:v>
      </x:c>
      <x:c r="AH29" s="60" t="n">
        <x:v>0.75</x:v>
      </x:c>
      <x:c r="AI29" s="60" t="n">
        <x:v>1</x:v>
      </x:c>
      <x:c r="AJ29" s="60" t="n">
        <x:v>1</x:v>
      </x:c>
      <x:c r="AK29" s="60" t="n">
        <x:v>1</x:v>
      </x:c>
      <x:c r="AL29" s="61" t="n">
        <x:f>AC29*'评分规则'!$B$4+AD29*'评分规则'!$B$5+AE29*'评分规则'!$B$6+AF29*'评分规则'!$B$7+AG29*'评分规则'!$B$8+AH29*'评分规则'!$B$9+AI29*'评分规则'!$B$10+AJ29*'评分规则'!$B$11+AK29*'评分规则'!$B$12</x:f>
        <x:v>90</x:v>
      </x:c>
      <x:c r="AM29" s="62" t="str">
        <x:f>IF(AL29&gt;='评分规则'!$F$4,"S",IF(AL29&gt;='评分规则'!$F$5,"A",IF(AL29&gt;='评分规则'!$F$6,"B","C")))</x:f>
        <x:v>S</x:v>
      </x:c>
      <x:c r="AN29" s="63" t="str">
        <x:v>否</x:v>
      </x:c>
      <x:c r="AO29" s="63" t="str">
        <x:v>待投递</x:v>
      </x:c>
      <x:c r="AP29" s="64"/>
      <x:c r="AQ29" s="63" t="str"/>
    </x:row>
    <x:row r="30" ht="66" customHeight="1">
      <x:c r="A30" s="56" t="str">
        <x:v>C004</x:v>
      </x:c>
      <x:c r="B30" s="56" t="str">
        <x:v>成都</x:v>
      </x:c>
      <x:c r="C30" s="56" t="str">
        <x:v>航空工业成都飞机设计研究所</x:v>
      </x:c>
      <x:c r="D30" s="56" t="str">
        <x:v>软件研发/AI赋能</x:v>
      </x:c>
      <x:c r="E30" s="56" t="str">
        <x:v>AI应用算法与应用工程师</x:v>
      </x:c>
      <x:c r="F30" s="56" t="str">
        <x:v>社招/全职</x:v>
      </x:c>
      <x:c r="G30" s="56" t="str">
        <x:v>公司直招</x:v>
      </x:c>
      <x:c r="H30" s="57"/>
      <x:c r="I30" s="56" t="str">
        <x:v>页面在招；投递前再次确认</x:v>
      </x:c>
      <x:c r="J30" s="58" t="str">
        <x:v>未披露</x:v>
      </x:c>
      <x:c r="K30" s="59"/>
      <x:c r="L30" s="59"/>
      <x:c r="M30" s="58" t="str">
        <x:v>未披露</x:v>
      </x:c>
      <x:c r="N30" s="59"/>
      <x:c r="O30" s="59" t="str">
        <x:f>IF(M30="K/月",(K30+L30)/2,IF(M30="万/年",(K30+L30)*10/24,""))</x:f>
      </x:c>
      <x:c r="P30" s="59" t="str">
        <x:f>IF(M30="K/月",(K30+L30)*IF(N30&gt;0,N30,12)/20,IF(M30="万/年",(K30+L30)/2,""))</x:f>
      </x:c>
      <x:c r="Q30" s="56" t="str">
        <x:v>未披露</x:v>
      </x:c>
      <x:c r="R30" s="56" t="str">
        <x:v>未披露</x:v>
      </x:c>
      <x:c r="S30" s="56" t="str">
        <x:v>公开信息未披露</x:v>
      </x:c>
      <x:c r="T30" s="56" t="str">
        <x:v>RAG、Agent/Skill/MCP、ETL/数据治理/知识图谱、AI系统架构与DevOps；至少2个完整RAG项目。</x:v>
      </x:c>
      <x:c r="U30" s="56" t="str">
        <x:v>RAG、MCP、DevOps与大型工程系统经验强。</x:v>
      </x:c>
      <x:c r="V30" s="56" t="str">
        <x:v>国企/研究所招聘流程与资格条件复杂；需在官方公告核验截止期和背景审查。</x:v>
      </x:c>
      <x:c r="W30" s="56" t="str">
        <x:v>https://www.fenbi.com/page/fenxiaozhaokaodetail/7/0/467353317955584</x:v>
      </x:c>
      <x:c r="X30" s="56" t="str">
        <x:v>https://www.fenbi.com/page/fenxiaozhaokaodetail/7/0/467353317955584</x:v>
      </x:c>
      <x:c r="Y30" s="56" t="str">
        <x:v>无可验证公开码</x:v>
      </x:c>
      <x:c r="Z30" s="56" t="str">
        <x:v>B</x:v>
      </x:c>
      <x:c r="AA30" s="57" t="n">
        <x:v>46260</x:v>
      </x:c>
      <x:c r="AB30" s="56" t="str"/>
      <x:c r="AC30" s="60" t="n">
        <x:v>1</x:v>
      </x:c>
      <x:c r="AD30" s="60" t="n">
        <x:v>1</x:v>
      </x:c>
      <x:c r="AE30" s="60" t="n">
        <x:v>1</x:v>
      </x:c>
      <x:c r="AF30" s="60" t="n">
        <x:v>1</x:v>
      </x:c>
      <x:c r="AG30" s="60" t="n">
        <x:v>0.5</x:v>
      </x:c>
      <x:c r="AH30" s="60" t="n">
        <x:v>0.75</x:v>
      </x:c>
      <x:c r="AI30" s="60" t="n">
        <x:v>1</x:v>
      </x:c>
      <x:c r="AJ30" s="60" t="n">
        <x:v>1</x:v>
      </x:c>
      <x:c r="AK30" s="60" t="n">
        <x:v>0.5</x:v>
      </x:c>
      <x:c r="AL30" s="61" t="n">
        <x:f>AC30*'评分规则'!$B$4+AD30*'评分规则'!$B$5+AE30*'评分规则'!$B$6+AF30*'评分规则'!$B$7+AG30*'评分规则'!$B$8+AH30*'评分规则'!$B$9+AI30*'评分规则'!$B$10+AJ30*'评分规则'!$B$11+AK30*'评分规则'!$B$12</x:f>
        <x:v>90</x:v>
      </x:c>
      <x:c r="AM30" s="62" t="str">
        <x:f>IF(AL30&gt;='评分规则'!$F$4,"S",IF(AL30&gt;='评分规则'!$F$5,"A",IF(AL30&gt;='评分规则'!$F$6,"B","C")))</x:f>
        <x:v>S</x:v>
      </x:c>
      <x:c r="AN30" s="63" t="str">
        <x:v>否</x:v>
      </x:c>
      <x:c r="AO30" s="63" t="str">
        <x:v>待投递</x:v>
      </x:c>
      <x:c r="AP30" s="64"/>
      <x:c r="AQ30" s="63" t="str"/>
    </x:row>
    <x:row r="31" ht="66" customHeight="1">
      <x:c r="A31" s="56" t="str">
        <x:v>S006</x:v>
      </x:c>
      <x:c r="B31" s="56" t="str">
        <x:v>上海</x:v>
      </x:c>
      <x:c r="C31" s="56" t="str">
        <x:v>蓝色鲸鱼 Whaletech</x:v>
      </x:c>
      <x:c r="D31" s="56" t="str">
        <x:v>Agent部</x:v>
      </x:c>
      <x:c r="E31" s="56" t="str">
        <x:v>大模型智能体开发工程师</x:v>
      </x:c>
      <x:c r="F31" s="56" t="str">
        <x:v>社招/全职</x:v>
      </x:c>
      <x:c r="G31" s="56" t="str">
        <x:v>公司直招</x:v>
      </x:c>
      <x:c r="H31" s="57"/>
      <x:c r="I31" s="56" t="str">
        <x:v>社会招聘；页面标注截止 2026-08-31（尽快投）</x:v>
      </x:c>
      <x:c r="J31" s="58" t="str">
        <x:v>未披露</x:v>
      </x:c>
      <x:c r="K31" s="59"/>
      <x:c r="L31" s="59"/>
      <x:c r="M31" s="58" t="str">
        <x:v>未披露</x:v>
      </x:c>
      <x:c r="N31" s="59"/>
      <x:c r="O31" s="59" t="str">
        <x:f>IF(M31="K/月",(K31+L31)/2,IF(M31="万/年",(K31+L31)*10/24,""))</x:f>
      </x:c>
      <x:c r="P31" s="59" t="str">
        <x:f>IF(M31="K/月",(K31+L31)*IF(N31&gt;0,N31,12)/20,IF(M31="万/年",(K31+L31)/2,""))</x:f>
      </x:c>
      <x:c r="Q31" s="56" t="str">
        <x:v>未披露</x:v>
      </x:c>
      <x:c r="R31" s="56" t="str">
        <x:v>未披露</x:v>
      </x:c>
      <x:c r="S31" s="56" t="str">
        <x:v>公开信息未披露</x:v>
      </x:c>
      <x:c r="T31" s="56" t="str">
        <x:v>Agent架构、规划执行、Tool Use、多Agent、Evaluation、Prompt、LLMOps与工程化部署。</x:v>
      </x:c>
      <x:c r="U31" s="56" t="str">
        <x:v>Agent编排、工具、评估与工程化全覆盖。</x:v>
      </x:c>
      <x:c r="V31" s="56" t="str">
        <x:v>需快速确认岗位仍开放；公司与业务稳定性在面试中核验。</x:v>
      </x:c>
      <x:c r="W31" s="56" t="str">
        <x:v>https://career.whaletech.ai/campus/jobs/job-001</x:v>
      </x:c>
      <x:c r="X31" s="56" t="str">
        <x:v>https://career.whaletech.ai/campus/jobs/job-001</x:v>
      </x:c>
      <x:c r="Y31" s="56" t="str">
        <x:v>无可验证公开码</x:v>
      </x:c>
      <x:c r="Z31" s="56" t="str">
        <x:v>A</x:v>
      </x:c>
      <x:c r="AA31" s="57" t="n">
        <x:v>46260</x:v>
      </x:c>
      <x:c r="AB31" s="56" t="str"/>
      <x:c r="AC31" s="60" t="n">
        <x:v>1</x:v>
      </x:c>
      <x:c r="AD31" s="60" t="n">
        <x:v>0.5</x:v>
      </x:c>
      <x:c r="AE31" s="60" t="n">
        <x:v>1</x:v>
      </x:c>
      <x:c r="AF31" s="60" t="n">
        <x:v>1</x:v>
      </x:c>
      <x:c r="AG31" s="60" t="n">
        <x:v>1</x:v>
      </x:c>
      <x:c r="AH31" s="60" t="n">
        <x:v>0.75</x:v>
      </x:c>
      <x:c r="AI31" s="60" t="n">
        <x:v>1</x:v>
      </x:c>
      <x:c r="AJ31" s="60" t="n">
        <x:v>1</x:v>
      </x:c>
      <x:c r="AK31" s="60" t="n">
        <x:v>1</x:v>
      </x:c>
      <x:c r="AL31" s="61" t="n">
        <x:f>AC31*'评分规则'!$B$4+AD31*'评分规则'!$B$5+AE31*'评分规则'!$B$6+AF31*'评分规则'!$B$7+AG31*'评分规则'!$B$8+AH31*'评分规则'!$B$9+AI31*'评分规则'!$B$10+AJ31*'评分规则'!$B$11+AK31*'评分规则'!$B$12</x:f>
        <x:v>90</x:v>
      </x:c>
      <x:c r="AM31" s="62" t="str">
        <x:f>IF(AL31&gt;='评分规则'!$F$4,"S",IF(AL31&gt;='评分规则'!$F$5,"A",IF(AL31&gt;='评分规则'!$F$6,"B","C")))</x:f>
        <x:v>S</x:v>
      </x:c>
      <x:c r="AN31" s="63" t="str">
        <x:v>否</x:v>
      </x:c>
      <x:c r="AO31" s="63" t="str">
        <x:v>待投递</x:v>
      </x:c>
      <x:c r="AP31" s="64"/>
      <x:c r="AQ31" s="63" t="str"/>
    </x:row>
    <x:row r="32" ht="66" customHeight="1">
      <x:c r="A32" s="56" t="str">
        <x:v>SU001</x:v>
      </x:c>
      <x:c r="B32" s="56" t="str">
        <x:v>苏州</x:v>
      </x:c>
      <x:c r="C32" s="56" t="str">
        <x:v>东吴证券</x:v>
      </x:c>
      <x:c r="D32" s="56" t="str">
        <x:v>AI研发</x:v>
      </x:c>
      <x:c r="E32" s="56" t="str">
        <x:v>AI研发工程师（大模型应用与微调）</x:v>
      </x:c>
      <x:c r="F32" s="56" t="str">
        <x:v>社招/全职</x:v>
      </x:c>
      <x:c r="G32" s="56" t="str">
        <x:v>公司直招</x:v>
      </x:c>
      <x:c r="H32" s="57" t="n">
        <x:v>46247</x:v>
      </x:c>
      <x:c r="I32" s="56" t="str">
        <x:v>页面在招；投递前再次确认</x:v>
      </x:c>
      <x:c r="J32" s="58" t="str">
        <x:v>未披露</x:v>
      </x:c>
      <x:c r="K32" s="59"/>
      <x:c r="L32" s="59"/>
      <x:c r="M32" s="58" t="str">
        <x:v>未披露</x:v>
      </x:c>
      <x:c r="N32" s="59"/>
      <x:c r="O32" s="59" t="str">
        <x:f>IF(M32="K/月",(K32+L32)/2,IF(M32="万/年",(K32+L32)*10/24,""))</x:f>
      </x:c>
      <x:c r="P32" s="59" t="str">
        <x:f>IF(M32="K/月",(K32+L32)*IF(N32&gt;0,N32,12)/20,IF(M32="万/年",(K32+L32)/2,""))</x:f>
      </x:c>
      <x:c r="Q32" s="56" t="str">
        <x:v>未披露</x:v>
      </x:c>
      <x:c r="R32" s="56" t="str">
        <x:v>未披露</x:v>
      </x:c>
      <x:c r="S32" s="56" t="str">
        <x:v>公开信息未披露</x:v>
      </x:c>
      <x:c r="T32" s="56" t="str">
        <x:v>社招全职；智能体/知识问答/API、微调/数据/评测、部署联调与工程化；1年以上相关经验优先。</x:v>
      </x:c>
      <x:c r="U32" s="56" t="str">
        <x:v>Agent、RAG、Eval与工程交付适配，金融科技平台稳定。</x:v>
      </x:c>
      <x:c r="V32" s="56" t="str">
        <x:v>需核验编程语言、薪资与是否有金融业务偏好。</x:v>
      </x:c>
      <x:c r="W32" s="56" t="str">
        <x:v>https://m.yinhangzhaopin.com/zqgszp/41/223525.htm</x:v>
      </x:c>
      <x:c r="X32" s="56" t="str">
        <x:v>https://m.yinhangzhaopin.com/zqgszp/41/223525.htm</x:v>
      </x:c>
      <x:c r="Y32" s="56" t="str">
        <x:v>无可验证公开码</x:v>
      </x:c>
      <x:c r="Z32" s="56" t="str">
        <x:v>B</x:v>
      </x:c>
      <x:c r="AA32" s="57" t="n">
        <x:v>46260</x:v>
      </x:c>
      <x:c r="AB32" s="56" t="str"/>
      <x:c r="AC32" s="60" t="n">
        <x:v>1</x:v>
      </x:c>
      <x:c r="AD32" s="60" t="n">
        <x:v>0.75</x:v>
      </x:c>
      <x:c r="AE32" s="60" t="n">
        <x:v>1</x:v>
      </x:c>
      <x:c r="AF32" s="60" t="n">
        <x:v>0.5</x:v>
      </x:c>
      <x:c r="AG32" s="60" t="n">
        <x:v>1</x:v>
      </x:c>
      <x:c r="AH32" s="60" t="n">
        <x:v>1</x:v>
      </x:c>
      <x:c r="AI32" s="60" t="n">
        <x:v>1</x:v>
      </x:c>
      <x:c r="AJ32" s="60" t="n">
        <x:v>1</x:v>
      </x:c>
      <x:c r="AK32" s="60" t="n">
        <x:v>0.75</x:v>
      </x:c>
      <x:c r="AL32" s="61" t="n">
        <x:f>AC32*'评分规则'!$B$4+AD32*'评分规则'!$B$5+AE32*'评分规则'!$B$6+AF32*'评分规则'!$B$7+AG32*'评分规则'!$B$8+AH32*'评分规则'!$B$9+AI32*'评分规则'!$B$10+AJ32*'评分规则'!$B$11+AK32*'评分规则'!$B$12</x:f>
        <x:v>90</x:v>
      </x:c>
      <x:c r="AM32" s="62" t="str">
        <x:f>IF(AL32&gt;='评分规则'!$F$4,"S",IF(AL32&gt;='评分规则'!$F$5,"A",IF(AL32&gt;='评分规则'!$F$6,"B","C")))</x:f>
        <x:v>S</x:v>
      </x:c>
      <x:c r="AN32" s="63" t="str">
        <x:v>否</x:v>
      </x:c>
      <x:c r="AO32" s="63" t="str">
        <x:v>待投递</x:v>
      </x:c>
      <x:c r="AP32" s="64"/>
      <x:c r="AQ32" s="63" t="str"/>
    </x:row>
    <x:row r="33" ht="66" customHeight="1">
      <x:c r="A33" s="56" t="str">
        <x:v>SU002</x:v>
      </x:c>
      <x:c r="B33" s="56" t="str">
        <x:v>苏州</x:v>
      </x:c>
      <x:c r="C33" s="56" t="str">
        <x:v>光动互联科技</x:v>
      </x:c>
      <x:c r="D33" s="56" t="str">
        <x:v>虚拟员工/工程管理AI</x:v>
      </x:c>
      <x:c r="E33" s="56" t="str">
        <x:v>AI大模型与智能体研发工程师</x:v>
      </x:c>
      <x:c r="F33" s="56" t="str">
        <x:v>社招/全职</x:v>
      </x:c>
      <x:c r="G33" s="56" t="str">
        <x:v>公司直招</x:v>
      </x:c>
      <x:c r="H33" s="57"/>
      <x:c r="I33" s="56" t="str">
        <x:v>页面在招；投递前再次确认</x:v>
      </x:c>
      <x:c r="J33" s="58" t="str">
        <x:v>10–20K/月</x:v>
      </x:c>
      <x:c r="K33" s="59" t="n">
        <x:v>10</x:v>
      </x:c>
      <x:c r="L33" s="59" t="n">
        <x:v>20</x:v>
      </x:c>
      <x:c r="M33" s="58" t="str">
        <x:v>K/月</x:v>
      </x:c>
      <x:c r="N33" s="59"/>
      <x:c r="O33" s="59" t="n">
        <x:f>IF(M33="K/月",(K33+L33)/2,IF(M33="万/年",(K33+L33)*10/24,""))</x:f>
        <x:v>15</x:v>
      </x:c>
      <x:c r="P33" s="59" t="n">
        <x:f>IF(M33="K/月",(K33+L33)*IF(N33&gt;0,N33,12)/20,IF(M33="万/年",(K33+L33)/2,""))</x:f>
        <x:v>18</x:v>
      </x:c>
      <x:c r="Q33" s="56" t="str">
        <x:v>未披露</x:v>
      </x:c>
      <x:c r="R33" s="56" t="str">
        <x:v>未披露</x:v>
      </x:c>
      <x:c r="S33" s="56" t="str">
        <x:v>公开信息未披露</x:v>
      </x:c>
      <x:c r="T33" s="56" t="str">
        <x:v>3年以上；LLM/Agent、Prompt、工具调用、知识库、RAG/微调、Python/API；构建20-100人级智能体团队。</x:v>
      </x:c>
      <x:c r="U33" s="56" t="str">
        <x:v>Agent架构、工具、知识库与系统集成匹配。</x:v>
      </x:c>
      <x:c r="V33" s="56" t="str">
        <x:v>薪资一般、初创且岗位含组织管理预期；核验真实技术团队规模。</x:v>
      </x:c>
      <x:c r="W33" s="56" t="str">
        <x:v>https://www.zhaopin.com/jobdetail/CC615228430J40911111912.htm</x:v>
      </x:c>
      <x:c r="X33" s="56" t="str">
        <x:v>https://www.zhaopin.com/jobdetail/CC615228430J40911111912.htm</x:v>
      </x:c>
      <x:c r="Y33" s="56" t="str">
        <x:v>无可验证公开码</x:v>
      </x:c>
      <x:c r="Z33" s="56" t="str">
        <x:v>B</x:v>
      </x:c>
      <x:c r="AA33" s="57" t="n">
        <x:v>46260</x:v>
      </x:c>
      <x:c r="AB33" s="56" t="str"/>
      <x:c r="AC33" s="60" t="n">
        <x:v>1</x:v>
      </x:c>
      <x:c r="AD33" s="60" t="n">
        <x:v>1</x:v>
      </x:c>
      <x:c r="AE33" s="60" t="n">
        <x:v>0.75</x:v>
      </x:c>
      <x:c r="AF33" s="60" t="n">
        <x:v>1</x:v>
      </x:c>
      <x:c r="AG33" s="60" t="n">
        <x:v>0.5</x:v>
      </x:c>
      <x:c r="AH33" s="60" t="n">
        <x:v>1</x:v>
      </x:c>
      <x:c r="AI33" s="60" t="n">
        <x:v>1</x:v>
      </x:c>
      <x:c r="AJ33" s="60" t="n">
        <x:v>1</x:v>
      </x:c>
      <x:c r="AK33" s="60" t="n">
        <x:v>0.75</x:v>
      </x:c>
      <x:c r="AL33" s="61" t="n">
        <x:f>AC33*'评分规则'!$B$4+AD33*'评分规则'!$B$5+AE33*'评分规则'!$B$6+AF33*'评分规则'!$B$7+AG33*'评分规则'!$B$8+AH33*'评分规则'!$B$9+AI33*'评分规则'!$B$10+AJ33*'评分规则'!$B$11+AK33*'评分规则'!$B$12</x:f>
        <x:v>90</x:v>
      </x:c>
      <x:c r="AM33" s="62" t="str">
        <x:f>IF(AL33&gt;='评分规则'!$F$4,"S",IF(AL33&gt;='评分规则'!$F$5,"A",IF(AL33&gt;='评分规则'!$F$6,"B","C")))</x:f>
        <x:v>S</x:v>
      </x:c>
      <x:c r="AN33" s="63" t="str">
        <x:v>否</x:v>
      </x:c>
      <x:c r="AO33" s="63" t="str">
        <x:v>待投递</x:v>
      </x:c>
      <x:c r="AP33" s="64"/>
      <x:c r="AQ33" s="63" t="str"/>
    </x:row>
    <x:row r="34" ht="66" customHeight="1">
      <x:c r="A34" s="56" t="str">
        <x:v>H006</x:v>
      </x:c>
      <x:c r="B34" s="56" t="str">
        <x:v>杭州</x:v>
      </x:c>
      <x:c r="C34" s="56" t="str">
        <x:v>互联在线 KHB</x:v>
      </x:c>
      <x:c r="D34" s="56" t="str">
        <x:v>KHB超脑</x:v>
      </x:c>
      <x:c r="E34" s="56" t="str">
        <x:v>AI Agent研发工程师</x:v>
      </x:c>
      <x:c r="F34" s="56" t="str">
        <x:v>社招/全职</x:v>
      </x:c>
      <x:c r="G34" s="56" t="str">
        <x:v>公司直招</x:v>
      </x:c>
      <x:c r="H34" s="57"/>
      <x:c r="I34" s="56" t="str">
        <x:v>页面在招；投递前再次确认</x:v>
      </x:c>
      <x:c r="J34" s="58" t="str">
        <x:v>18–45K × 13薪</x:v>
      </x:c>
      <x:c r="K34" s="59" t="n">
        <x:v>18</x:v>
      </x:c>
      <x:c r="L34" s="59" t="n">
        <x:v>45</x:v>
      </x:c>
      <x:c r="M34" s="58" t="str">
        <x:v>K/月</x:v>
      </x:c>
      <x:c r="N34" s="59" t="n">
        <x:v>13</x:v>
      </x:c>
      <x:c r="O34" s="59" t="n">
        <x:f>IF(M34="K/月",(K34+L34)/2,IF(M34="万/年",(K34+L34)*10/24,""))</x:f>
        <x:v>31.5</x:v>
      </x:c>
      <x:c r="P34" s="59" t="n">
        <x:f>IF(M34="K/月",(K34+L34)*IF(N34&gt;0,N34,12)/20,IF(M34="万/年",(K34+L34)/2,""))</x:f>
        <x:v>40.95</x:v>
      </x:c>
      <x:c r="Q34" s="56" t="str">
        <x:v>部分岗位可远程（需确认该岗）</x:v>
      </x:c>
      <x:c r="R34" s="56" t="str">
        <x:v>弹性工作、周末双休（官网公司级说明）</x:v>
      </x:c>
      <x:c r="S34" s="56" t="str">
        <x:v>公开信息未披露</x:v>
      </x:c>
      <x:c r="T34" s="56" t="str">
        <x:v>Agent框架、Tool Use、记忆与规划、长期记忆、多Agent、私有化部署；Python/LangChain/LlamaIndex。</x:v>
      </x:c>
      <x:c r="U34" s="56" t="str">
        <x:v>Agent编排、工具、记忆、RAG与工程交付吻合，且工作制度公开。</x:v>
      </x:c>
      <x:c r="V34" s="56" t="str">
        <x:v>公司规模与岗位级别需核验；远程是“部分岗位”而非该岗明确承诺。</x:v>
      </x:c>
      <x:c r="W34" s="56" t="str">
        <x:v>mailto:hr@khb.com</x:v>
      </x:c>
      <x:c r="X34" s="56" t="str">
        <x:v>https://about.hlzx.com/team</x:v>
      </x:c>
      <x:c r="Y34" s="56" t="str">
        <x:v>无可验证公开码</x:v>
      </x:c>
      <x:c r="Z34" s="56" t="str">
        <x:v>A</x:v>
      </x:c>
      <x:c r="AA34" s="57" t="n">
        <x:v>46260</x:v>
      </x:c>
      <x:c r="AB34" s="56" t="str"/>
      <x:c r="AC34" s="60" t="n">
        <x:v>1</x:v>
      </x:c>
      <x:c r="AD34" s="60" t="n">
        <x:v>0.75</x:v>
      </x:c>
      <x:c r="AE34" s="60" t="n">
        <x:v>1</x:v>
      </x:c>
      <x:c r="AF34" s="60" t="n">
        <x:v>1</x:v>
      </x:c>
      <x:c r="AG34" s="60" t="n">
        <x:v>0.5</x:v>
      </x:c>
      <x:c r="AH34" s="60" t="n">
        <x:v>0.75</x:v>
      </x:c>
      <x:c r="AI34" s="60" t="n">
        <x:v>1</x:v>
      </x:c>
      <x:c r="AJ34" s="60" t="n">
        <x:v>1</x:v>
      </x:c>
      <x:c r="AK34" s="60" t="n">
        <x:v>1</x:v>
      </x:c>
      <x:c r="AL34" s="61" t="n">
        <x:f>AC34*'评分规则'!$B$4+AD34*'评分规则'!$B$5+AE34*'评分规则'!$B$6+AF34*'评分规则'!$B$7+AG34*'评分规则'!$B$8+AH34*'评分规则'!$B$9+AI34*'评分规则'!$B$10+AJ34*'评分规则'!$B$11+AK34*'评分规则'!$B$12</x:f>
        <x:v>88.75</x:v>
      </x:c>
      <x:c r="AM34" s="62" t="str">
        <x:f>IF(AL34&gt;='评分规则'!$F$4,"S",IF(AL34&gt;='评分规则'!$F$5,"A",IF(AL34&gt;='评分规则'!$F$6,"B","C")))</x:f>
        <x:v>A</x:v>
      </x:c>
      <x:c r="AN34" s="63" t="str">
        <x:v>否</x:v>
      </x:c>
      <x:c r="AO34" s="63" t="str">
        <x:v>待投递</x:v>
      </x:c>
      <x:c r="AP34" s="64"/>
      <x:c r="AQ34" s="63" t="str"/>
    </x:row>
    <x:row r="35" ht="66" customHeight="1">
      <x:c r="A35" s="56" t="str">
        <x:v>H008</x:v>
      </x:c>
      <x:c r="B35" s="56" t="str">
        <x:v>杭州</x:v>
      </x:c>
      <x:c r="C35" s="56" t="str">
        <x:v>阿里巴巴集团</x:v>
      </x:c>
      <x:c r="D35" s="56" t="str">
        <x:v>社招团队未披露</x:v>
      </x:c>
      <x:c r="E35" s="56" t="str">
        <x:v>AI Agent工程师</x:v>
      </x:c>
      <x:c r="F35" s="56" t="str">
        <x:v>社招/全职</x:v>
      </x:c>
      <x:c r="G35" s="56" t="str">
        <x:v>公司直招</x:v>
      </x:c>
      <x:c r="H35" s="57"/>
      <x:c r="I35" s="56" t="str">
        <x:v>页面在招；投递前再次确认</x:v>
      </x:c>
      <x:c r="J35" s="58" t="str">
        <x:v>20–40K × 12薪（牛客页面）</x:v>
      </x:c>
      <x:c r="K35" s="59" t="n">
        <x:v>20</x:v>
      </x:c>
      <x:c r="L35" s="59" t="n">
        <x:v>40</x:v>
      </x:c>
      <x:c r="M35" s="58" t="str">
        <x:v>K/月</x:v>
      </x:c>
      <x:c r="N35" s="59" t="n">
        <x:v>12</x:v>
      </x:c>
      <x:c r="O35" s="59" t="n">
        <x:f>IF(M35="K/月",(K35+L35)/2,IF(M35="万/年",(K35+L35)*10/24,""))</x:f>
        <x:v>30</x:v>
      </x:c>
      <x:c r="P35" s="59" t="n">
        <x:f>IF(M35="K/月",(K35+L35)*IF(N35&gt;0,N35,12)/20,IF(M35="万/年",(K35+L35)/2,""))</x:f>
        <x:v>36</x:v>
      </x:c>
      <x:c r="Q35" s="56" t="str">
        <x:v>未披露</x:v>
      </x:c>
      <x:c r="R35" s="56" t="str">
        <x:v>未披露</x:v>
      </x:c>
      <x:c r="S35" s="56" t="str">
        <x:v>公开信息未披露</x:v>
      </x:c>
      <x:c r="T35" s="56" t="str">
        <x:v>Java服务端、高并发/高可用、微服务/MQ/分库分表；Agent、上下文工程、Skills、MCP、RAG与AI Coding。</x:v>
      </x:c>
      <x:c r="U35" s="56" t="str">
        <x:v>C#大规模后端可迁移到Java；Agent/RAG/MCP实战稀缺。</x:v>
      </x:c>
      <x:c r="V35" s="56" t="str">
        <x:v>Java深度/JVM是硬要求；若无法快速补，优先级低于Python/Node岗位。</x:v>
      </x:c>
      <x:c r="W35" s="56" t="str">
        <x:v>https://www.nowcoder.com/jobs/detail/436296?channel=npJobTab&amp;deliverSource=1&amp;pageSource=5001</x:v>
      </x:c>
      <x:c r="X35" s="56" t="str">
        <x:v>https://www.nowcoder.com/jobs/detail/436296?channel=npJobTab&amp;deliverSource=1&amp;pageSource=5001</x:v>
      </x:c>
      <x:c r="Y35" s="56" t="str">
        <x:v>无可验证公开码</x:v>
      </x:c>
      <x:c r="Z35" s="56" t="str">
        <x:v>B</x:v>
      </x:c>
      <x:c r="AA35" s="57" t="n">
        <x:v>46260</x:v>
      </x:c>
      <x:c r="AB35" s="56" t="str"/>
      <x:c r="AC35" s="60" t="n">
        <x:v>1</x:v>
      </x:c>
      <x:c r="AD35" s="60" t="n">
        <x:v>1</x:v>
      </x:c>
      <x:c r="AE35" s="60" t="n">
        <x:v>1</x:v>
      </x:c>
      <x:c r="AF35" s="60" t="n">
        <x:v>1</x:v>
      </x:c>
      <x:c r="AG35" s="60" t="n">
        <x:v>0.5</x:v>
      </x:c>
      <x:c r="AH35" s="60" t="n">
        <x:v>1</x:v>
      </x:c>
      <x:c r="AI35" s="60" t="n">
        <x:v>0.5</x:v>
      </x:c>
      <x:c r="AJ35" s="60" t="n">
        <x:v>1</x:v>
      </x:c>
      <x:c r="AK35" s="60" t="n">
        <x:v>0.75</x:v>
      </x:c>
      <x:c r="AL35" s="61" t="n">
        <x:f>AC35*'评分规则'!$B$4+AD35*'评分规则'!$B$5+AE35*'评分规则'!$B$6+AF35*'评分规则'!$B$7+AG35*'评分规则'!$B$8+AH35*'评分规则'!$B$9+AI35*'评分规则'!$B$10+AJ35*'评分规则'!$B$11+AK35*'评分规则'!$B$12</x:f>
        <x:v>88.75</x:v>
      </x:c>
      <x:c r="AM35" s="62" t="str">
        <x:f>IF(AL35&gt;='评分规则'!$F$4,"S",IF(AL35&gt;='评分规则'!$F$5,"A",IF(AL35&gt;='评分规则'!$F$6,"B","C")))</x:f>
        <x:v>A</x:v>
      </x:c>
      <x:c r="AN35" s="63" t="str">
        <x:v>否</x:v>
      </x:c>
      <x:c r="AO35" s="63" t="str">
        <x:v>待投递</x:v>
      </x:c>
      <x:c r="AP35" s="64"/>
      <x:c r="AQ35" s="63" t="str"/>
    </x:row>
    <x:row r="36" ht="66" customHeight="1">
      <x:c r="A36" s="56" t="str">
        <x:v>S004</x:v>
      </x:c>
      <x:c r="B36" s="56" t="str">
        <x:v>上海</x:v>
      </x:c>
      <x:c r="C36" s="56" t="str">
        <x:v>上海人工智能实验室</x:v>
      </x:c>
      <x:c r="D36" s="56" t="str">
        <x:v>创新应用中心</x:v>
      </x:c>
      <x:c r="E36" s="56" t="str">
        <x:v>大模型应用算法工程师</x:v>
      </x:c>
      <x:c r="F36" s="56" t="str">
        <x:v>社招/全职</x:v>
      </x:c>
      <x:c r="G36" s="56" t="str">
        <x:v>公司直招</x:v>
      </x:c>
      <x:c r="H36" s="57" t="n">
        <x:v>46247</x:v>
      </x:c>
      <x:c r="I36" s="56" t="str">
        <x:v>页面在招；投递前再次确认</x:v>
      </x:c>
      <x:c r="J36" s="58" t="str">
        <x:v>未披露</x:v>
      </x:c>
      <x:c r="K36" s="59"/>
      <x:c r="L36" s="59"/>
      <x:c r="M36" s="58" t="str">
        <x:v>未披露</x:v>
      </x:c>
      <x:c r="N36" s="59"/>
      <x:c r="O36" s="59" t="str">
        <x:f>IF(M36="K/月",(K36+L36)/2,IF(M36="万/年",(K36+L36)*10/24,""))</x:f>
      </x:c>
      <x:c r="P36" s="59" t="str">
        <x:f>IF(M36="K/月",(K36+L36)*IF(N36&gt;0,N36,12)/20,IF(M36="万/年",(K36+L36)/2,""))</x:f>
      </x:c>
      <x:c r="Q36" s="56" t="str">
        <x:v>未披露</x:v>
      </x:c>
      <x:c r="R36" s="56" t="str">
        <x:v>未披露</x:v>
      </x:c>
      <x:c r="S36" s="56" t="str">
        <x:v>公开信息未披露</x:v>
      </x:c>
      <x:c r="T36" s="56" t="str">
        <x:v>Python/PyTorch；RAG/Agent/Prompt；后训练、数据集、训练评估与部署；论文/开源优先。</x:v>
      </x:c>
      <x:c r="U36" s="56" t="str">
        <x:v>RAG、评测、工程落地强。</x:v>
      </x:c>
      <x:c r="V36" s="56" t="str">
        <x:v>训练/微调/PyTorch与工业设计领域经验不足；定位为工程化应用候选人。</x:v>
      </x:c>
      <x:c r="W36" s="56" t="str">
        <x:v>https://www.shlab.org.cn/joinus/detail/7540111744543443250?mode=social</x:v>
      </x:c>
      <x:c r="X36" s="56" t="str">
        <x:v>https://www.shlab.org.cn/joinus/detail/7540111744543443250?mode=social</x:v>
      </x:c>
      <x:c r="Y36" s="56" t="str">
        <x:v>无可验证公开码</x:v>
      </x:c>
      <x:c r="Z36" s="56" t="str">
        <x:v>A</x:v>
      </x:c>
      <x:c r="AA36" s="57" t="n">
        <x:v>46260</x:v>
      </x:c>
      <x:c r="AB36" s="56" t="str"/>
      <x:c r="AC36" s="60" t="n">
        <x:v>1</x:v>
      </x:c>
      <x:c r="AD36" s="60" t="n">
        <x:v>1</x:v>
      </x:c>
      <x:c r="AE36" s="60" t="n">
        <x:v>0.75</x:v>
      </x:c>
      <x:c r="AF36" s="60" t="n">
        <x:v>0.5</x:v>
      </x:c>
      <x:c r="AG36" s="60" t="n">
        <x:v>1</x:v>
      </x:c>
      <x:c r="AH36" s="60" t="n">
        <x:v>0.75</x:v>
      </x:c>
      <x:c r="AI36" s="60" t="n">
        <x:v>1</x:v>
      </x:c>
      <x:c r="AJ36" s="60" t="n">
        <x:v>1</x:v>
      </x:c>
      <x:c r="AK36" s="60" t="n">
        <x:v>1</x:v>
      </x:c>
      <x:c r="AL36" s="61" t="n">
        <x:f>AC36*'评分规则'!$B$4+AD36*'评分规则'!$B$5+AE36*'评分规则'!$B$6+AF36*'评分规则'!$B$7+AG36*'评分规则'!$B$8+AH36*'评分规则'!$B$9+AI36*'评分规则'!$B$10+AJ36*'评分规则'!$B$11+AK36*'评分规则'!$B$12</x:f>
        <x:v>88.75</x:v>
      </x:c>
      <x:c r="AM36" s="62" t="str">
        <x:f>IF(AL36&gt;='评分规则'!$F$4,"S",IF(AL36&gt;='评分规则'!$F$5,"A",IF(AL36&gt;='评分规则'!$F$6,"B","C")))</x:f>
        <x:v>A</x:v>
      </x:c>
      <x:c r="AN36" s="63" t="str">
        <x:v>否</x:v>
      </x:c>
      <x:c r="AO36" s="63" t="str">
        <x:v>待投递</x:v>
      </x:c>
      <x:c r="AP36" s="64"/>
      <x:c r="AQ36" s="63" t="str"/>
    </x:row>
    <x:row r="37" ht="66" customHeight="1">
      <x:c r="A37" s="56" t="str">
        <x:v>C001</x:v>
      </x:c>
      <x:c r="B37" s="56" t="str">
        <x:v>成都</x:v>
      </x:c>
      <x:c r="C37" s="56" t="str">
        <x:v>蚂蚁集团</x:v>
      </x:c>
      <x:c r="D37" s="56" t="str">
        <x:v>AI应用开发</x:v>
      </x:c>
      <x:c r="E37" s="56" t="str">
        <x:v>AI应用工程师</x:v>
      </x:c>
      <x:c r="F37" s="56" t="str">
        <x:v>社招/全职</x:v>
      </x:c>
      <x:c r="G37" s="56" t="str">
        <x:v>公司直招</x:v>
      </x:c>
      <x:c r="H37" s="57" t="n">
        <x:v>46234</x:v>
      </x:c>
      <x:c r="I37" s="56" t="str">
        <x:v>页面在招；投递前再次确认</x:v>
      </x:c>
      <x:c r="J37" s="58" t="str">
        <x:v>未披露</x:v>
      </x:c>
      <x:c r="K37" s="59"/>
      <x:c r="L37" s="59"/>
      <x:c r="M37" s="58" t="str">
        <x:v>未披露</x:v>
      </x:c>
      <x:c r="N37" s="59"/>
      <x:c r="O37" s="59" t="str">
        <x:f>IF(M37="K/月",(K37+L37)/2,IF(M37="万/年",(K37+L37)*10/24,""))</x:f>
      </x:c>
      <x:c r="P37" s="59" t="str">
        <x:f>IF(M37="K/月",(K37+L37)*IF(N37&gt;0,N37,12)/20,IF(M37="万/年",(K37+L37)/2,""))</x:f>
      </x:c>
      <x:c r="Q37" s="56" t="str">
        <x:v>未披露</x:v>
      </x:c>
      <x:c r="R37" s="56" t="str">
        <x:v>未披露</x:v>
      </x:c>
      <x:c r="S37" s="56" t="str">
        <x:v>公开信息未披露</x:v>
      </x:c>
      <x:c r="T37" s="56" t="str">
        <x:v>3年以内；Agent框架、任务编排/工具/记忆；Agent沙箱、容器隔离、K8s、扩缩容、监控与可观测；Python/Go/Java。</x:v>
      </x:c>
      <x:c r="U37" s="56" t="str">
        <x:v>Agent工程、K8s、工具链、可观测与系统集成非常契合。</x:v>
      </x:c>
      <x:c r="V37" s="56" t="str">
        <x:v>岗位写3年以内，你4年；先确认是否硬限制。</x:v>
      </x:c>
      <x:c r="W37" s="56" t="str">
        <x:v>https://talent.antgroup.com/off-campus-position?positionId=260731011189574</x:v>
      </x:c>
      <x:c r="X37" s="56" t="str">
        <x:v>https://jobs.ultraai.site/jobs/ant/260731011189574</x:v>
      </x:c>
      <x:c r="Y37" s="56" t="str">
        <x:v>职先机页面显示蚂蚁岗位暂不提供内推；无公开码</x:v>
      </x:c>
      <x:c r="Z37" s="56" t="str">
        <x:v>A</x:v>
      </x:c>
      <x:c r="AA37" s="57" t="n">
        <x:v>46260</x:v>
      </x:c>
      <x:c r="AB37" s="56" t="str"/>
      <x:c r="AC37" s="60" t="n">
        <x:v>1</x:v>
      </x:c>
      <x:c r="AD37" s="60" t="n">
        <x:v>0.5</x:v>
      </x:c>
      <x:c r="AE37" s="60" t="n">
        <x:v>1</x:v>
      </x:c>
      <x:c r="AF37" s="60" t="n">
        <x:v>1</x:v>
      </x:c>
      <x:c r="AG37" s="60" t="n">
        <x:v>1</x:v>
      </x:c>
      <x:c r="AH37" s="60" t="n">
        <x:v>0.5</x:v>
      </x:c>
      <x:c r="AI37" s="60" t="n">
        <x:v>1</x:v>
      </x:c>
      <x:c r="AJ37" s="60" t="n">
        <x:v>1</x:v>
      </x:c>
      <x:c r="AK37" s="60" t="n">
        <x:v>1</x:v>
      </x:c>
      <x:c r="AL37" s="61" t="n">
        <x:f>AC37*'评分规则'!$B$4+AD37*'评分规则'!$B$5+AE37*'评分规则'!$B$6+AF37*'评分规则'!$B$7+AG37*'评分规则'!$B$8+AH37*'评分规则'!$B$9+AI37*'评分规则'!$B$10+AJ37*'评分规则'!$B$11+AK37*'评分规则'!$B$12</x:f>
        <x:v>87.5</x:v>
      </x:c>
      <x:c r="AM37" s="62" t="str">
        <x:f>IF(AL37&gt;='评分规则'!$F$4,"S",IF(AL37&gt;='评分规则'!$F$5,"A",IF(AL37&gt;='评分规则'!$F$6,"B","C")))</x:f>
        <x:v>A</x:v>
      </x:c>
      <x:c r="AN37" s="63" t="str">
        <x:v>否</x:v>
      </x:c>
      <x:c r="AO37" s="63" t="str">
        <x:v>待投递</x:v>
      </x:c>
      <x:c r="AP37" s="64"/>
      <x:c r="AQ37" s="63" t="str"/>
    </x:row>
    <x:row r="38" ht="66" customHeight="1">
      <x:c r="A38" s="56" t="str">
        <x:v>S005</x:v>
      </x:c>
      <x:c r="B38" s="56" t="str">
        <x:v>上海</x:v>
      </x:c>
      <x:c r="C38" s="56" t="str">
        <x:v>海尔 / 新时达</x:v>
      </x:c>
      <x:c r="D38" s="56" t="str">
        <x:v>企业技术中心</x:v>
      </x:c>
      <x:c r="E38" s="56" t="str">
        <x:v>AI平台工程师</x:v>
      </x:c>
      <x:c r="F38" s="56" t="str">
        <x:v>社招/全职</x:v>
      </x:c>
      <x:c r="G38" s="56" t="str">
        <x:v>公司直招</x:v>
      </x:c>
      <x:c r="H38" s="57" t="n">
        <x:v>46223</x:v>
      </x:c>
      <x:c r="I38" s="56" t="str">
        <x:v>页面在招；投递前再次确认</x:v>
      </x:c>
      <x:c r="J38" s="58" t="str">
        <x:v>面议</x:v>
      </x:c>
      <x:c r="K38" s="59"/>
      <x:c r="L38" s="59"/>
      <x:c r="M38" s="58" t="str">
        <x:v>未披露</x:v>
      </x:c>
      <x:c r="N38" s="59"/>
      <x:c r="O38" s="59" t="str">
        <x:f>IF(M38="K/月",(K38+L38)/2,IF(M38="万/年",(K38+L38)*10/24,""))</x:f>
      </x:c>
      <x:c r="P38" s="59" t="str">
        <x:f>IF(M38="K/月",(K38+L38)*IF(N38&gt;0,N38,12)/20,IF(M38="万/年",(K38+L38)/2,""))</x:f>
      </x:c>
      <x:c r="Q38" s="56" t="str">
        <x:v>未披露</x:v>
      </x:c>
      <x:c r="R38" s="56" t="str">
        <x:v>未披露</x:v>
      </x:c>
      <x:c r="S38" s="56" t="str">
        <x:v>公开信息未披露</x:v>
      </x:c>
      <x:c r="T38" s="56" t="str">
        <x:v>5年以上、硕士；Agent Runtime、工具调用、任务编排、RAG、模型封装/推理、Python/C++、平台高可用。</x:v>
      </x:c>
      <x:c r="U38" s="56" t="str">
        <x:v>Agent Runtime、RAG与生产工程经验贴合。</x:v>
      </x:c>
      <x:c r="V38" s="56" t="str">
        <x:v>5年以上门槛与C++/模型推理不足；先确认工作地点思义路1560号及用工主体。</x:v>
      </x:c>
      <x:c r="W38" s="56" t="str">
        <x:v>https://maker.haier.net/client/job/detail/id/10228552/recommend_record/1</x:v>
      </x:c>
      <x:c r="X38" s="56" t="str">
        <x:v>https://maker.haier.net/client/job/detail/id/10228552/recommend_record/1</x:v>
      </x:c>
      <x:c r="Y38" s="56" t="str">
        <x:v>无可验证公开码</x:v>
      </x:c>
      <x:c r="Z38" s="56" t="str">
        <x:v>A</x:v>
      </x:c>
      <x:c r="AA38" s="57" t="n">
        <x:v>46260</x:v>
      </x:c>
      <x:c r="AB38" s="56" t="str"/>
      <x:c r="AC38" s="60" t="n">
        <x:v>1</x:v>
      </x:c>
      <x:c r="AD38" s="60" t="n">
        <x:v>1</x:v>
      </x:c>
      <x:c r="AE38" s="60" t="n">
        <x:v>1</x:v>
      </x:c>
      <x:c r="AF38" s="60" t="n">
        <x:v>1</x:v>
      </x:c>
      <x:c r="AG38" s="60" t="n">
        <x:v>0.5</x:v>
      </x:c>
      <x:c r="AH38" s="60" t="n">
        <x:v>0.5</x:v>
      </x:c>
      <x:c r="AI38" s="60" t="n">
        <x:v>0.75</x:v>
      </x:c>
      <x:c r="AJ38" s="60" t="n">
        <x:v>1</x:v>
      </x:c>
      <x:c r="AK38" s="60" t="n">
        <x:v>1</x:v>
      </x:c>
      <x:c r="AL38" s="61" t="n">
        <x:f>AC38*'评分规则'!$B$4+AD38*'评分规则'!$B$5+AE38*'评分规则'!$B$6+AF38*'评分规则'!$B$7+AG38*'评分规则'!$B$8+AH38*'评分规则'!$B$9+AI38*'评分规则'!$B$10+AJ38*'评分规则'!$B$11+AK38*'评分规则'!$B$12</x:f>
        <x:v>87.5</x:v>
      </x:c>
      <x:c r="AM38" s="62" t="str">
        <x:f>IF(AL38&gt;='评分规则'!$F$4,"S",IF(AL38&gt;='评分规则'!$F$5,"A",IF(AL38&gt;='评分规则'!$F$6,"B","C")))</x:f>
        <x:v>A</x:v>
      </x:c>
      <x:c r="AN38" s="63" t="str">
        <x:v>否</x:v>
      </x:c>
      <x:c r="AO38" s="63" t="str">
        <x:v>待投递</x:v>
      </x:c>
      <x:c r="AP38" s="64"/>
      <x:c r="AQ38" s="63" t="str"/>
    </x:row>
    <x:row r="39" ht="66" customHeight="1">
      <x:c r="A39" s="56" t="str">
        <x:v>H005</x:v>
      </x:c>
      <x:c r="B39" s="56" t="str">
        <x:v>杭州</x:v>
      </x:c>
      <x:c r="C39" s="56" t="str">
        <x:v>Evolvent AI</x:v>
      </x:c>
      <x:c r="D39" s="56" t="str">
        <x:v>Agent评估数据平台</x:v>
      </x:c>
      <x:c r="E39" s="56" t="str">
        <x:v>全栈工程师（全栈+DevOps）</x:v>
      </x:c>
      <x:c r="F39" s="56" t="str">
        <x:v>社招/全职</x:v>
      </x:c>
      <x:c r="G39" s="56" t="str">
        <x:v>初创公司直招</x:v>
      </x:c>
      <x:c r="H39" s="57" t="n">
        <x:v>46182</x:v>
      </x:c>
      <x:c r="I39" s="56" t="str">
        <x:v>页面在招；投递前再次确认</x:v>
      </x:c>
      <x:c r="J39" s="58" t="str">
        <x:v>30–40K × 13薪</x:v>
      </x:c>
      <x:c r="K39" s="59" t="n">
        <x:v>30</x:v>
      </x:c>
      <x:c r="L39" s="59" t="n">
        <x:v>40</x:v>
      </x:c>
      <x:c r="M39" s="58" t="str">
        <x:v>K/月</x:v>
      </x:c>
      <x:c r="N39" s="59" t="n">
        <x:v>13</x:v>
      </x:c>
      <x:c r="O39" s="59" t="n">
        <x:f>IF(M39="K/月",(K39+L39)/2,IF(M39="万/年",(K39+L39)*10/24,""))</x:f>
        <x:v>35</x:v>
      </x:c>
      <x:c r="P39" s="59" t="n">
        <x:f>IF(M39="K/月",(K39+L39)*IF(N39&gt;0,N39,12)/20,IF(M39="万/年",(K39+L39)/2,""))</x:f>
        <x:v>45.5</x:v>
      </x:c>
      <x:c r="Q39" s="56" t="str">
        <x:v>未披露</x:v>
      </x:c>
      <x:c r="R39" s="56" t="str">
        <x:v>未披露</x:v>
      </x:c>
      <x:c r="S39" s="56" t="str">
        <x:v>公开信息未披露</x:v>
      </x:c>
      <x:c r="T39" s="56" t="str">
        <x:v>3-5年；API/Web/Worker/公共库；K8s多集群、镜像、CI/CD；面向Agent评估的数据生产与质检平台。</x:v>
      </x:c>
      <x:c r="U39" s="56" t="str">
        <x:v>Eval Harness、K8s、CI/CD、React与端到端工程经验极贴。</x:v>
      </x:c>
      <x:c r="V39" s="56" t="str">
        <x:v>新创公司（2026成立）；需核验融资、现金流、试用期和期权条款。</x:v>
      </x:c>
      <x:c r="W39" s="56" t="str">
        <x:v>https://www.liepin.com/job/1983286581.shtml</x:v>
      </x:c>
      <x:c r="X39" s="56" t="str">
        <x:v>https://www.liepin.com/job/1983286581.shtml</x:v>
      </x:c>
      <x:c r="Y39" s="56" t="str">
        <x:v>无可验证公开码</x:v>
      </x:c>
      <x:c r="Z39" s="56" t="str">
        <x:v>B</x:v>
      </x:c>
      <x:c r="AA39" s="57" t="n">
        <x:v>46260</x:v>
      </x:c>
      <x:c r="AB39" s="56" t="str"/>
      <x:c r="AC39" s="60" t="n">
        <x:v>1</x:v>
      </x:c>
      <x:c r="AD39" s="60" t="n">
        <x:v>0.5</x:v>
      </x:c>
      <x:c r="AE39" s="60" t="n">
        <x:v>1</x:v>
      </x:c>
      <x:c r="AF39" s="60" t="n">
        <x:v>0.5</x:v>
      </x:c>
      <x:c r="AG39" s="60" t="n">
        <x:v>1</x:v>
      </x:c>
      <x:c r="AH39" s="60" t="n">
        <x:v>1</x:v>
      </x:c>
      <x:c r="AI39" s="60" t="n">
        <x:v>1</x:v>
      </x:c>
      <x:c r="AJ39" s="60" t="n">
        <x:v>1</x:v>
      </x:c>
      <x:c r="AK39" s="60" t="n">
        <x:v>0.75</x:v>
      </x:c>
      <x:c r="AL39" s="61" t="n">
        <x:f>AC39*'评分规则'!$B$4+AD39*'评分规则'!$B$5+AE39*'评分规则'!$B$6+AF39*'评分规则'!$B$7+AG39*'评分规则'!$B$8+AH39*'评分规则'!$B$9+AI39*'评分规则'!$B$10+AJ39*'评分规则'!$B$11+AK39*'评分规则'!$B$12</x:f>
        <x:v>86.25</x:v>
      </x:c>
      <x:c r="AM39" s="62" t="str">
        <x:f>IF(AL39&gt;='评分规则'!$F$4,"S",IF(AL39&gt;='评分规则'!$F$5,"A",IF(AL39&gt;='评分规则'!$F$6,"B","C")))</x:f>
        <x:v>A</x:v>
      </x:c>
      <x:c r="AN39" s="63" t="str">
        <x:v>否</x:v>
      </x:c>
      <x:c r="AO39" s="63" t="str">
        <x:v>待投递</x:v>
      </x:c>
      <x:c r="AP39" s="64"/>
      <x:c r="AQ39" s="63" t="str"/>
    </x:row>
    <x:row r="40" ht="66" customHeight="1">
      <x:c r="A40" s="56" t="str">
        <x:v>M001</x:v>
      </x:c>
      <x:c r="B40" s="56" t="str">
        <x:v>跨城/远程</x:v>
      </x:c>
      <x:c r="C40" s="56" t="str">
        <x:v>TAC Tech Alliance Consultancy</x:v>
      </x:c>
      <x:c r="D40" s="56" t="str">
        <x:v>客户AI全栈（客户未披露）</x:v>
      </x:c>
      <x:c r="E40" s="56" t="str">
        <x:v>AI创新—AI全栈工程师（北京/上海/全国远程）</x:v>
      </x:c>
      <x:c r="F40" s="56" t="str">
        <x:v>社招/全职</x:v>
      </x:c>
      <x:c r="G40" s="56" t="str">
        <x:v>猎头/派遣机构；客户未具名</x:v>
      </x:c>
      <x:c r="H40" s="57" t="n">
        <x:v>46211</x:v>
      </x:c>
      <x:c r="I40" s="56" t="str">
        <x:v>页面在招；投递前再次确认</x:v>
      </x:c>
      <x:c r="J40" s="58" t="str">
        <x:v>面议</x:v>
      </x:c>
      <x:c r="K40" s="59"/>
      <x:c r="L40" s="59"/>
      <x:c r="M40" s="58" t="str">
        <x:v>未披露</x:v>
      </x:c>
      <x:c r="N40" s="59"/>
      <x:c r="O40" s="59" t="str">
        <x:f>IF(M40="K/月",(K40+L40)/2,IF(M40="万/年",(K40+L40)*10/24,""))</x:f>
      </x:c>
      <x:c r="P40" s="59" t="str">
        <x:f>IF(M40="K/月",(K40+L40)*IF(N40&gt;0,N40,12)/20,IF(M40="万/年",(K40+L40)/2,""))</x:f>
      </x:c>
      <x:c r="Q40" s="56" t="str">
        <x:v>全远程（或北京/上海）</x:v>
      </x:c>
      <x:c r="R40" s="56" t="str">
        <x:v>未披露</x:v>
      </x:c>
      <x:c r="S40" s="56" t="str">
        <x:v>公开信息未披露</x:v>
      </x:c>
      <x:c r="T40" s="56" t="str">
        <x:v>3年以上全栈；Python/PyTorch、RAG、Agent、LLM API、Vue/React、高并发与文档/代码评审。</x:v>
      </x:c>
      <x:c r="U40" s="56" t="str">
        <x:v>全栈、RAG/Agent与React直接匹配，是稀缺全远程选项。</x:v>
      </x:c>
      <x:c r="V40" s="56" t="str">
        <x:v>日本猎头/派遣机构发布、客户未披露；核验劳动合同主体、社保公积金与跨境税务。</x:v>
      </x:c>
      <x:c r="W40" s="56" t="str">
        <x:v>https://www.tacjob.com/zh/jobs/ai-fullstack-engineer-china.html</x:v>
      </x:c>
      <x:c r="X40" s="56" t="str">
        <x:v>https://www.tacjob.com/zh/jobs/ai-fullstack-engineer-china.html</x:v>
      </x:c>
      <x:c r="Y40" s="56" t="str">
        <x:v>无可验证公开码</x:v>
      </x:c>
      <x:c r="Z40" s="56" t="str">
        <x:v>C</x:v>
      </x:c>
      <x:c r="AA40" s="57" t="n">
        <x:v>46260</x:v>
      </x:c>
      <x:c r="AB40" s="56" t="str"/>
      <x:c r="AC40" s="60" t="n">
        <x:v>1</x:v>
      </x:c>
      <x:c r="AD40" s="60" t="n">
        <x:v>1</x:v>
      </x:c>
      <x:c r="AE40" s="60" t="n">
        <x:v>1</x:v>
      </x:c>
      <x:c r="AF40" s="60" t="n">
        <x:v>0.5</x:v>
      </x:c>
      <x:c r="AG40" s="60" t="n">
        <x:v>0.5</x:v>
      </x:c>
      <x:c r="AH40" s="60" t="n">
        <x:v>1</x:v>
      </x:c>
      <x:c r="AI40" s="60" t="n">
        <x:v>1</x:v>
      </x:c>
      <x:c r="AJ40" s="60" t="n">
        <x:v>1</x:v>
      </x:c>
      <x:c r="AK40" s="60" t="n">
        <x:v>0.25</x:v>
      </x:c>
      <x:c r="AL40" s="61" t="n">
        <x:f>AC40*'评分规则'!$B$4+AD40*'评分规则'!$B$5+AE40*'评分规则'!$B$6+AF40*'评分规则'!$B$7+AG40*'评分规则'!$B$8+AH40*'评分规则'!$B$9+AI40*'评分规则'!$B$10+AJ40*'评分规则'!$B$11+AK40*'评分规则'!$B$12</x:f>
        <x:v>86.25</x:v>
      </x:c>
      <x:c r="AM40" s="62" t="str">
        <x:f>IF(AL40&gt;='评分规则'!$F$4,"S",IF(AL40&gt;='评分规则'!$F$5,"A",IF(AL40&gt;='评分规则'!$F$6,"B","C")))</x:f>
        <x:v>A</x:v>
      </x:c>
      <x:c r="AN40" s="63" t="str">
        <x:v>否</x:v>
      </x:c>
      <x:c r="AO40" s="63" t="str">
        <x:v>待投递</x:v>
      </x:c>
      <x:c r="AP40" s="64"/>
      <x:c r="AQ40" s="63" t="str"/>
    </x:row>
    <x:row r="41" ht="66" customHeight="1">
      <x:c r="A41" s="56" t="str">
        <x:v>SZ006</x:v>
      </x:c>
      <x:c r="B41" s="56" t="str">
        <x:v>深圳</x:v>
      </x:c>
      <x:c r="C41" s="56" t="str">
        <x:v>鹏劳人力 / 中国电信深圳分公司</x:v>
      </x:c>
      <x:c r="D41" s="56" t="str">
        <x:v>智能体服务与测试</x:v>
      </x:c>
      <x:c r="E41" s="56" t="str">
        <x:v>大模型应用开发工程师</x:v>
      </x:c>
      <x:c r="F41" s="56" t="str">
        <x:v>社招/全职</x:v>
      </x:c>
      <x:c r="G41" s="56" t="str">
        <x:v>人力外包；客户为中国电信深圳分公司</x:v>
      </x:c>
      <x:c r="H41" s="57"/>
      <x:c r="I41" s="56" t="str">
        <x:v>页面在招；投递前再次确认</x:v>
      </x:c>
      <x:c r="J41" s="58" t="str">
        <x:v>9–10K/月；页面称综合年薪&gt;12万</x:v>
      </x:c>
      <x:c r="K41" s="59" t="n">
        <x:v>9</x:v>
      </x:c>
      <x:c r="L41" s="59" t="n">
        <x:v>10</x:v>
      </x:c>
      <x:c r="M41" s="58" t="str">
        <x:v>K/月</x:v>
      </x:c>
      <x:c r="N41" s="59"/>
      <x:c r="O41" s="59" t="n">
        <x:f>IF(M41="K/月",(K41+L41)/2,IF(M41="万/年",(K41+L41)*10/24,""))</x:f>
        <x:v>9.5</x:v>
      </x:c>
      <x:c r="P41" s="59" t="n">
        <x:f>IF(M41="K/月",(K41+L41)*IF(N41&gt;0,N41,12)/20,IF(M41="万/年",(K41+L41)/2,""))</x:f>
        <x:v>11.4</x:v>
      </x:c>
      <x:c r="Q41" s="56" t="str">
        <x:v>未披露</x:v>
      </x:c>
      <x:c r="R41" s="56" t="str">
        <x:v>周一至周五 8:30–17:30（JD明确）</x:v>
      </x:c>
      <x:c r="S41" s="56" t="str">
        <x:v>公开信息未披露</x:v>
      </x:c>
      <x:c r="T41" s="56" t="str">
        <x:v>1-3年；Python/Java、RAG/向量库、PyTorch/vLLM、本地部署、微调、0-1交付。</x:v>
      </x:c>
      <x:c r="U41" s="56" t="str">
        <x:v>Agent/RAG与系统交付能力远超要求，工时信息最透明。</x:v>
      </x:c>
      <x:c r="V41" s="56" t="str">
        <x:v>外包/派遣且薪资明显偏低；仅在看重稳定工时或过渡时考虑。</x:v>
      </x:c>
      <x:c r="W41" s="56" t="str">
        <x:v>https://www.zhaopin.com/jobdetail/CC138924830J40906407912.htm</x:v>
      </x:c>
      <x:c r="X41" s="56" t="str">
        <x:v>https://www.zhaopin.com/jobdetail/CC138924830J40906407912.htm</x:v>
      </x:c>
      <x:c r="Y41" s="56" t="str">
        <x:v>无可验证公开码</x:v>
      </x:c>
      <x:c r="Z41" s="56" t="str">
        <x:v>B</x:v>
      </x:c>
      <x:c r="AA41" s="57" t="n">
        <x:v>46260</x:v>
      </x:c>
      <x:c r="AB41" s="56" t="str"/>
      <x:c r="AC41" s="60" t="n">
        <x:v>1</x:v>
      </x:c>
      <x:c r="AD41" s="60" t="n">
        <x:v>1</x:v>
      </x:c>
      <x:c r="AE41" s="60" t="n">
        <x:v>1</x:v>
      </x:c>
      <x:c r="AF41" s="60" t="n">
        <x:v>0.5</x:v>
      </x:c>
      <x:c r="AG41" s="60" t="n">
        <x:v>0.5</x:v>
      </x:c>
      <x:c r="AH41" s="60" t="n">
        <x:v>0.75</x:v>
      </x:c>
      <x:c r="AI41" s="60" t="n">
        <x:v>1</x:v>
      </x:c>
      <x:c r="AJ41" s="60" t="n">
        <x:v>1</x:v>
      </x:c>
      <x:c r="AK41" s="60" t="n">
        <x:v>0.25</x:v>
      </x:c>
      <x:c r="AL41" s="61" t="n">
        <x:f>AC41*'评分规则'!$B$4+AD41*'评分规则'!$B$5+AE41*'评分规则'!$B$6+AF41*'评分规则'!$B$7+AG41*'评分规则'!$B$8+AH41*'评分规则'!$B$9+AI41*'评分规则'!$B$10+AJ41*'评分规则'!$B$11+AK41*'评分规则'!$B$12</x:f>
        <x:v>83.75</x:v>
      </x:c>
      <x:c r="AM41" s="62" t="str">
        <x:f>IF(AL41&gt;='评分规则'!$F$4,"S",IF(AL41&gt;='评分规则'!$F$5,"A",IF(AL41&gt;='评分规则'!$F$6,"B","C")))</x:f>
        <x:v>A</x:v>
      </x:c>
      <x:c r="AN41" s="63" t="str">
        <x:v>否</x:v>
      </x:c>
      <x:c r="AO41" s="63" t="str">
        <x:v>待投递</x:v>
      </x:c>
      <x:c r="AP41" s="64"/>
      <x:c r="AQ41" s="63" t="str"/>
    </x:row>
    <x:row r="42" ht="66" customHeight="1">
      <x:c r="A42" s="56" t="str">
        <x:v>SU003</x:v>
      </x:c>
      <x:c r="B42" s="56" t="str">
        <x:v>苏州</x:v>
      </x:c>
      <x:c r="C42" s="56" t="str">
        <x:v>苏州城方信息技术</x:v>
      </x:c>
      <x:c r="D42" s="56" t="str">
        <x:v>智慧城市AI</x:v>
      </x:c>
      <x:c r="E42" s="56" t="str">
        <x:v>大模型算法应用工程师</x:v>
      </x:c>
      <x:c r="F42" s="56" t="str">
        <x:v>社招/全职</x:v>
      </x:c>
      <x:c r="G42" s="56" t="str">
        <x:v>公司直招</x:v>
      </x:c>
      <x:c r="H42" s="57"/>
      <x:c r="I42" s="56" t="str">
        <x:v>页面在招；投递前再次确认</x:v>
      </x:c>
      <x:c r="J42" s="58" t="str">
        <x:v>15–30K/月</x:v>
      </x:c>
      <x:c r="K42" s="59" t="n">
        <x:v>15</x:v>
      </x:c>
      <x:c r="L42" s="59" t="n">
        <x:v>30</x:v>
      </x:c>
      <x:c r="M42" s="58" t="str">
        <x:v>K/月</x:v>
      </x:c>
      <x:c r="N42" s="59"/>
      <x:c r="O42" s="59" t="n">
        <x:f>IF(M42="K/月",(K42+L42)/2,IF(M42="万/年",(K42+L42)*10/24,""))</x:f>
        <x:v>22.5</x:v>
      </x:c>
      <x:c r="P42" s="59" t="n">
        <x:f>IF(M42="K/月",(K42+L42)*IF(N42&gt;0,N42,12)/20,IF(M42="万/年",(K42+L42)/2,""))</x:f>
        <x:v>27</x:v>
      </x:c>
      <x:c r="Q42" s="56" t="str">
        <x:v>未披露</x:v>
      </x:c>
      <x:c r="R42" s="56" t="str">
        <x:v>上五休二（公司介绍）；具体时段未披露</x:v>
      </x:c>
      <x:c r="S42" s="56" t="str">
        <x:v>公开信息未披露</x:v>
      </x:c>
      <x:c r="T42" s="56" t="str">
        <x:v>1年以上、硕士；Python并发/PyTorch、RAG/微调、Prompt、知识库优化与AI-ready数据治理。</x:v>
      </x:c>
      <x:c r="U42" s="56" t="str">
        <x:v>硕士、RAG、异步工程和数据治理吻合，工作制度较透明。</x:v>
      </x:c>
      <x:c r="V42" s="56" t="str">
        <x:v>偏算法/PyTorch和微调；你的年限可能高于岗位主档。</x:v>
      </x:c>
      <x:c r="W42" s="56" t="str">
        <x:v>https://www.zhaopin.com/jobdetail/CC286763730J40726084311.htm</x:v>
      </x:c>
      <x:c r="X42" s="56" t="str">
        <x:v>https://www.zhaopin.com/jobdetail/CC286763730J40726084311.htm</x:v>
      </x:c>
      <x:c r="Y42" s="56" t="str">
        <x:v>无可验证公开码</x:v>
      </x:c>
      <x:c r="Z42" s="56" t="str">
        <x:v>B</x:v>
      </x:c>
      <x:c r="AA42" s="57" t="n">
        <x:v>46260</x:v>
      </x:c>
      <x:c r="AB42" s="56" t="str"/>
      <x:c r="AC42" s="60" t="n">
        <x:v>0.75</x:v>
      </x:c>
      <x:c r="AD42" s="60" t="n">
        <x:v>1</x:v>
      </x:c>
      <x:c r="AE42" s="60" t="n">
        <x:v>1</x:v>
      </x:c>
      <x:c r="AF42" s="60" t="n">
        <x:v>0.5</x:v>
      </x:c>
      <x:c r="AG42" s="60" t="n">
        <x:v>0.5</x:v>
      </x:c>
      <x:c r="AH42" s="60" t="n">
        <x:v>0.75</x:v>
      </x:c>
      <x:c r="AI42" s="60" t="n">
        <x:v>1</x:v>
      </x:c>
      <x:c r="AJ42" s="60" t="n">
        <x:v>1</x:v>
      </x:c>
      <x:c r="AK42" s="60" t="n">
        <x:v>0.75</x:v>
      </x:c>
      <x:c r="AL42" s="61" t="n">
        <x:f>AC42*'评分规则'!$B$4+AD42*'评分规则'!$B$5+AE42*'评分规则'!$B$6+AF42*'评分规则'!$B$7+AG42*'评分规则'!$B$8+AH42*'评分规则'!$B$9+AI42*'评分规则'!$B$10+AJ42*'评分规则'!$B$11+AK42*'评分规则'!$B$12</x:f>
        <x:v>81.25</x:v>
      </x:c>
      <x:c r="AM42" s="62" t="str">
        <x:f>IF(AL42&gt;='评分规则'!$F$4,"S",IF(AL42&gt;='评分规则'!$F$5,"A",IF(AL42&gt;='评分规则'!$F$6,"B","C")))</x:f>
        <x:v>A</x:v>
      </x:c>
      <x:c r="AN42" s="63" t="str">
        <x:v>否</x:v>
      </x:c>
      <x:c r="AO42" s="63" t="str">
        <x:v>待投递</x:v>
      </x:c>
      <x:c r="AP42" s="64"/>
      <x:c r="AQ42" s="63" t="str"/>
    </x:row>
    <x:row r="43" ht="66" customHeight="1">
      <x:c r="A43" s="56" t="str">
        <x:v>C006</x:v>
      </x:c>
      <x:c r="B43" s="56" t="str">
        <x:v>成都</x:v>
      </x:c>
      <x:c r="C43" s="56" t="str">
        <x:v>成都蜀俊博凌科技</x:v>
      </x:c>
      <x:c r="D43" s="56" t="str">
        <x:v>Agent开发</x:v>
      </x:c>
      <x:c r="E43" s="56" t="str">
        <x:v>Agent开发工程师</x:v>
      </x:c>
      <x:c r="F43" s="56" t="str">
        <x:v>全职（页面归在校招集合，社招资格待确认）</x:v>
      </x:c>
      <x:c r="G43" s="56" t="str">
        <x:v>公司直招</x:v>
      </x:c>
      <x:c r="H43" s="57" t="n">
        <x:v>46116</x:v>
      </x:c>
      <x:c r="I43" s="56" t="str">
        <x:v>页面在招；投递前再次确认</x:v>
      </x:c>
      <x:c r="J43" s="58" t="str">
        <x:v>12–24K/月</x:v>
      </x:c>
      <x:c r="K43" s="59" t="n">
        <x:v>12</x:v>
      </x:c>
      <x:c r="L43" s="59" t="n">
        <x:v>24</x:v>
      </x:c>
      <x:c r="M43" s="58" t="str">
        <x:v>K/月</x:v>
      </x:c>
      <x:c r="N43" s="59"/>
      <x:c r="O43" s="59" t="n">
        <x:f>IF(M43="K/月",(K43+L43)/2,IF(M43="万/年",(K43+L43)*10/24,""))</x:f>
        <x:v>18</x:v>
      </x:c>
      <x:c r="P43" s="59" t="n">
        <x:f>IF(M43="K/月",(K43+L43)*IF(N43&gt;0,N43,12)/20,IF(M43="万/年",(K43+L43)/2,""))</x:f>
        <x:v>21.6</x:v>
      </x:c>
      <x:c r="Q43" s="56" t="str">
        <x:v>未披露</x:v>
      </x:c>
      <x:c r="R43" s="56" t="str">
        <x:v>未披露</x:v>
      </x:c>
      <x:c r="S43" s="56" t="str">
        <x:v>公开信息未披露</x:v>
      </x:c>
      <x:c r="T43" s="56" t="str">
        <x:v>单/多Agent、任务拆解、状态/记忆、Prompt、RAG、LangChain/LangGraph/AutoGen/CrewAI。</x:v>
      </x:c>
      <x:c r="U43" s="56" t="str">
        <x:v>Agent编排和RAG项目直接对应。</x:v>
      </x:c>
      <x:c r="V43" s="56" t="str">
        <x:v>来源页面属于校招简章集合且公司信息少；必须核验社招资格、用工主体和薪资。</x:v>
      </x:c>
      <x:c r="W43" s="56" t="str">
        <x:v>https://www.shushuqiuzhi.com/article/206931</x:v>
      </x:c>
      <x:c r="X43" s="56" t="str">
        <x:v>https://www.shushuqiuzhi.com/article/206931</x:v>
      </x:c>
      <x:c r="Y43" s="56" t="str">
        <x:v>无可验证公开码</x:v>
      </x:c>
      <x:c r="Z43" s="56" t="str">
        <x:v>C</x:v>
      </x:c>
      <x:c r="AA43" s="57" t="n">
        <x:v>46260</x:v>
      </x:c>
      <x:c r="AB43" s="56" t="str"/>
      <x:c r="AC43" s="60" t="n">
        <x:v>1</x:v>
      </x:c>
      <x:c r="AD43" s="60" t="n">
        <x:v>1</x:v>
      </x:c>
      <x:c r="AE43" s="60" t="n">
        <x:v>0.75</x:v>
      </x:c>
      <x:c r="AF43" s="60" t="n">
        <x:v>0.75</x:v>
      </x:c>
      <x:c r="AG43" s="60" t="n">
        <x:v>0.5</x:v>
      </x:c>
      <x:c r="AH43" s="60" t="n">
        <x:v>0.5</x:v>
      </x:c>
      <x:c r="AI43" s="60" t="n">
        <x:v>1</x:v>
      </x:c>
      <x:c r="AJ43" s="60" t="n">
        <x:v>1</x:v>
      </x:c>
      <x:c r="AK43" s="60" t="n">
        <x:v>0.25</x:v>
      </x:c>
      <x:c r="AL43" s="61" t="n">
        <x:f>AC43*'评分规则'!$B$4+AD43*'评分规则'!$B$5+AE43*'评分规则'!$B$6+AF43*'评分规则'!$B$7+AG43*'评分规则'!$B$8+AH43*'评分规则'!$B$9+AI43*'评分规则'!$B$10+AJ43*'评分规则'!$B$11+AK43*'评分规则'!$B$12</x:f>
        <x:v>80</x:v>
      </x:c>
      <x:c r="AM43" s="62" t="str">
        <x:f>IF(AL43&gt;='评分规则'!$F$4,"S",IF(AL43&gt;='评分规则'!$F$5,"A",IF(AL43&gt;='评分规则'!$F$6,"B","C")))</x:f>
        <x:v>A</x:v>
      </x:c>
      <x:c r="AN43" s="63" t="str">
        <x:v>否</x:v>
      </x:c>
      <x:c r="AO43" s="63" t="str">
        <x:v>待投递</x:v>
      </x:c>
      <x:c r="AP43" s="64"/>
      <x:c r="AQ43" s="63" t="str"/>
    </x:row>
    <x:row r="44" ht="66" customHeight="1">
      <x:c r="A44" s="56" t="str">
        <x:v>SU007</x:v>
      </x:c>
      <x:c r="B44" s="56" t="str">
        <x:v>苏州</x:v>
      </x:c>
      <x:c r="C44" s="56" t="str">
        <x:v>苏州维信电子</x:v>
      </x:c>
      <x:c r="D44" s="56" t="str">
        <x:v>企业服务/智能体</x:v>
      </x:c>
      <x:c r="E44" s="56" t="str">
        <x:v>智能体开发工程师</x:v>
      </x:c>
      <x:c r="F44" s="56" t="str">
        <x:v>社招/全职</x:v>
      </x:c>
      <x:c r="G44" s="56" t="str">
        <x:v>公司直招</x:v>
      </x:c>
      <x:c r="H44" s="57"/>
      <x:c r="I44" s="56" t="str">
        <x:v>页面在招；投递前再次确认</x:v>
      </x:c>
      <x:c r="J44" s="58" t="str">
        <x:v>9–14K × 14薪</x:v>
      </x:c>
      <x:c r="K44" s="59" t="n">
        <x:v>9</x:v>
      </x:c>
      <x:c r="L44" s="59" t="n">
        <x:v>14</x:v>
      </x:c>
      <x:c r="M44" s="58" t="str">
        <x:v>K/月</x:v>
      </x:c>
      <x:c r="N44" s="59" t="n">
        <x:v>14</x:v>
      </x:c>
      <x:c r="O44" s="59" t="n">
        <x:f>IF(M44="K/月",(K44+L44)/2,IF(M44="万/年",(K44+L44)*10/24,""))</x:f>
        <x:v>11.5</x:v>
      </x:c>
      <x:c r="P44" s="59" t="n">
        <x:f>IF(M44="K/月",(K44+L44)*IF(N44&gt;0,N44,12)/20,IF(M44="万/年",(K44+L44)/2,""))</x:f>
        <x:v>16.1</x:v>
      </x:c>
      <x:c r="Q44" s="56" t="str">
        <x:v>未披露</x:v>
      </x:c>
      <x:c r="R44" s="56" t="str">
        <x:v>未披露</x:v>
      </x:c>
      <x:c r="S44" s="56" t="str">
        <x:v>公开信息未披露</x:v>
      </x:c>
      <x:c r="T44" s="56" t="str">
        <x:v>3-5年、本科；负责智能体核心能力架构与大模型集成（BOSS搜索摘要）。</x:v>
      </x:c>
      <x:c r="U44" s="56" t="str">
        <x:v>年限和Agent平台经验匹配，大型制造企业场景稳定。</x:v>
      </x:c>
      <x:c r="V44" s="56" t="str">
        <x:v>公开详情不完整、薪资偏低；核验是否偏内部工具与现场支持。</x:v>
      </x:c>
      <x:c r="W44" s="56" t="str">
        <x:v>https://www.zhipin.com/zhaopin/91fe3cdd9a189d1a1Hd62dS4/</x:v>
      </x:c>
      <x:c r="X44" s="56" t="str">
        <x:v>https://www.zhipin.com/zhaopin/91fe3cdd9a189d1a1Hd62dS4/</x:v>
      </x:c>
      <x:c r="Y44" s="56" t="str">
        <x:v>无可验证公开码</x:v>
      </x:c>
      <x:c r="Z44" s="56" t="str">
        <x:v>B</x:v>
      </x:c>
      <x:c r="AA44" s="57" t="n">
        <x:v>46260</x:v>
      </x:c>
      <x:c r="AB44" s="56" t="str"/>
      <x:c r="AC44" s="60" t="n">
        <x:v>1</x:v>
      </x:c>
      <x:c r="AD44" s="60" t="n">
        <x:v>0.5</x:v>
      </x:c>
      <x:c r="AE44" s="60" t="n">
        <x:v>0.75</x:v>
      </x:c>
      <x:c r="AF44" s="60" t="n">
        <x:v>0.75</x:v>
      </x:c>
      <x:c r="AG44" s="60" t="n">
        <x:v>0.5</x:v>
      </x:c>
      <x:c r="AH44" s="60" t="n">
        <x:v>1</x:v>
      </x:c>
      <x:c r="AI44" s="60" t="n">
        <x:v>1</x:v>
      </x:c>
      <x:c r="AJ44" s="60" t="n">
        <x:v>1</x:v>
      </x:c>
      <x:c r="AK44" s="60" t="n">
        <x:v>0.5</x:v>
      </x:c>
      <x:c r="AL44" s="61" t="n">
        <x:f>AC44*'评分规则'!$B$4+AD44*'评分规则'!$B$5+AE44*'评分规则'!$B$6+AF44*'评分规则'!$B$7+AG44*'评分规则'!$B$8+AH44*'评分规则'!$B$9+AI44*'评分规则'!$B$10+AJ44*'评分规则'!$B$11+AK44*'评分规则'!$B$12</x:f>
        <x:v>78.75</x:v>
      </x:c>
      <x:c r="AM44" s="62" t="str">
        <x:f>IF(AL44&gt;='评分规则'!$F$4,"S",IF(AL44&gt;='评分规则'!$F$5,"A",IF(AL44&gt;='评分规则'!$F$6,"B","C")))</x:f>
        <x:v>B</x:v>
      </x:c>
      <x:c r="AN44" s="63" t="str">
        <x:v>否</x:v>
      </x:c>
      <x:c r="AO44" s="63" t="str">
        <x:v>待投递</x:v>
      </x:c>
      <x:c r="AP44" s="64"/>
      <x:c r="AQ44" s="63" t="str"/>
    </x:row>
    <x:row r="45" ht="66" customHeight="1">
      <x:c r="A45" s="56" t="str">
        <x:v>B007</x:v>
      </x:c>
      <x:c r="B45" s="56" t="str">
        <x:v>北京</x:v>
      </x:c>
      <x:c r="C45" s="56" t="str">
        <x:v>字节跳动</x:v>
      </x:c>
      <x:c r="D45" s="56" t="str">
        <x:v>PICO</x:v>
      </x:c>
      <x:c r="E45" s="56" t="str">
        <x:v>AI Agent研发专家</x:v>
      </x:c>
      <x:c r="F45" s="56" t="str">
        <x:v>社招/全职</x:v>
      </x:c>
      <x:c r="G45" s="56" t="str">
        <x:v>公司直招</x:v>
      </x:c>
      <x:c r="H45" s="57" t="n">
        <x:v>46189</x:v>
      </x:c>
      <x:c r="I45" s="56" t="str">
        <x:v>页面在招；投递前再次确认</x:v>
      </x:c>
      <x:c r="J45" s="58" t="str">
        <x:v>未披露</x:v>
      </x:c>
      <x:c r="K45" s="59"/>
      <x:c r="L45" s="59"/>
      <x:c r="M45" s="58" t="str">
        <x:v>未披露</x:v>
      </x:c>
      <x:c r="N45" s="59"/>
      <x:c r="O45" s="59" t="str">
        <x:f>IF(M45="K/月",(K45+L45)/2,IF(M45="万/年",(K45+L45)*10/24,""))</x:f>
      </x:c>
      <x:c r="P45" s="59" t="str">
        <x:f>IF(M45="K/月",(K45+L45)*IF(N45&gt;0,N45,12)/20,IF(M45="万/年",(K45+L45)/2,""))</x:f>
      </x:c>
      <x:c r="Q45" s="56" t="str">
        <x:v>未披露</x:v>
      </x:c>
      <x:c r="R45" s="56" t="str">
        <x:v>未披露</x:v>
      </x:c>
      <x:c r="S45" s="56" t="str">
        <x:v>公开信息未披露</x:v>
      </x:c>
      <x:c r="T45" s="56" t="str">
        <x:v>XR 场景 Multi-Agent、Agent评估体系、Agent开发套件与前沿范式探索。</x:v>
      </x:c>
      <x:c r="U45" s="56" t="str">
        <x:v>Evaluator、MCP工具化与框架能力匹配。</x:v>
      </x:c>
      <x:c r="V45" s="56" t="str">
        <x:v>专家/研究属性较强，XR与多模态经历不足；优先级低于应用平台岗。</x:v>
      </x:c>
      <x:c r="W45" s="56" t="str">
        <x:v>https://uoouai.com/zh/jobs/7566276029096478981</x:v>
      </x:c>
      <x:c r="X45" s="56" t="str">
        <x:v>https://uoouai.com/zh/jobs/7566276029096478981</x:v>
      </x:c>
      <x:c r="Y45" s="56" t="str">
        <x:v>无可验证公开码</x:v>
      </x:c>
      <x:c r="Z45" s="56" t="str">
        <x:v>B</x:v>
      </x:c>
      <x:c r="AA45" s="57" t="n">
        <x:v>46260</x:v>
      </x:c>
      <x:c r="AB45" s="56" t="str"/>
      <x:c r="AC45" s="60" t="n">
        <x:v>1</x:v>
      </x:c>
      <x:c r="AD45" s="60" t="n">
        <x:v>0.25</x:v>
      </x:c>
      <x:c r="AE45" s="60" t="n">
        <x:v>0.75</x:v>
      </x:c>
      <x:c r="AF45" s="60" t="n">
        <x:v>1</x:v>
      </x:c>
      <x:c r="AG45" s="60" t="n">
        <x:v>1</x:v>
      </x:c>
      <x:c r="AH45" s="60" t="n">
        <x:v>0.5</x:v>
      </x:c>
      <x:c r="AI45" s="60" t="n">
        <x:v>1</x:v>
      </x:c>
      <x:c r="AJ45" s="60" t="n">
        <x:v>1</x:v>
      </x:c>
      <x:c r="AK45" s="60" t="n">
        <x:v>0.5</x:v>
      </x:c>
      <x:c r="AL45" s="61" t="n">
        <x:f>AC45*'评分规则'!$B$4+AD45*'评分规则'!$B$5+AE45*'评分规则'!$B$6+AF45*'评分规则'!$B$7+AG45*'评分规则'!$B$8+AH45*'评分规则'!$B$9+AI45*'评分规则'!$B$10+AJ45*'评分规则'!$B$11+AK45*'评分规则'!$B$12</x:f>
        <x:v>77.5</x:v>
      </x:c>
      <x:c r="AM45" s="62" t="str">
        <x:f>IF(AL45&gt;='评分规则'!$F$4,"S",IF(AL45&gt;='评分规则'!$F$5,"A",IF(AL45&gt;='评分规则'!$F$6,"B","C")))</x:f>
        <x:v>B</x:v>
      </x:c>
      <x:c r="AN45" s="63" t="str">
        <x:v>否</x:v>
      </x:c>
      <x:c r="AO45" s="63" t="str">
        <x:v>待投递</x:v>
      </x:c>
      <x:c r="AP45" s="64"/>
      <x:c r="AQ45" s="63" t="str"/>
    </x:row>
    <x:row r="46" ht="66" customHeight="1">
      <x:c r="A46" s="56" t="str">
        <x:v>H009</x:v>
      </x:c>
      <x:c r="B46" s="56" t="str">
        <x:v>杭州</x:v>
      </x:c>
      <x:c r="C46" s="56" t="str">
        <x:v>阿里巴巴控股</x:v>
      </x:c>
      <x:c r="D46" s="56" t="str">
        <x:v>大模型算法</x:v>
      </x:c>
      <x:c r="E46" s="56" t="str">
        <x:v>大模型算法工程师/算法专家</x:v>
      </x:c>
      <x:c r="F46" s="56" t="str">
        <x:v>社招/全职</x:v>
      </x:c>
      <x:c r="G46" s="56" t="str">
        <x:v>公司直招</x:v>
      </x:c>
      <x:c r="H46" s="57" t="n">
        <x:v>46247</x:v>
      </x:c>
      <x:c r="I46" s="56" t="str">
        <x:v>页面在招；投递前再次确认</x:v>
      </x:c>
      <x:c r="J46" s="58" t="str">
        <x:v>未披露</x:v>
      </x:c>
      <x:c r="K46" s="59"/>
      <x:c r="L46" s="59"/>
      <x:c r="M46" s="58" t="str">
        <x:v>未披露</x:v>
      </x:c>
      <x:c r="N46" s="59"/>
      <x:c r="O46" s="59" t="str">
        <x:f>IF(M46="K/月",(K46+L46)/2,IF(M46="万/年",(K46+L46)*10/24,""))</x:f>
      </x:c>
      <x:c r="P46" s="59" t="str">
        <x:f>IF(M46="K/月",(K46+L46)*IF(N46&gt;0,N46,12)/20,IF(M46="万/年",(K46+L46)/2,""))</x:f>
      </x:c>
      <x:c r="Q46" s="56" t="str">
        <x:v>未披露</x:v>
      </x:c>
      <x:c r="R46" s="56" t="str">
        <x:v>未披露</x:v>
      </x:c>
      <x:c r="S46" s="56" t="str">
        <x:v>公开信息未披露</x:v>
      </x:c>
      <x:c r="T46" s="56" t="str">
        <x:v>预/后训练、Agentic RL、Reward/Verifier、Harness/Memory/Skill、多Agent、LLM-as-Judge与数据飞轮。</x:v>
      </x:c>
      <x:c r="U46" s="56" t="str">
        <x:v>Verifier、Harness、Eval与检索排序是可迁移亮点。</x:v>
      </x:c>
      <x:c r="V46" s="56" t="str">
        <x:v>主线是模型训练/RL，要求PyTorch/DeepSpeed/vLLM等；属于高风险冲刺。</x:v>
      </x:c>
      <x:c r="W46" s="56" t="str">
        <x:v>https://talent-holding.alibaba.com/off-campus/position-detail?positionId=100031860003</x:v>
      </x:c>
      <x:c r="X46" s="56" t="str">
        <x:v>https://jobs.ultraai.site/jobs/alibaba/100031860003</x:v>
      </x:c>
      <x:c r="Y46" s="56" t="str">
        <x:v>无可验证公开码</x:v>
      </x:c>
      <x:c r="Z46" s="56" t="str">
        <x:v>A</x:v>
      </x:c>
      <x:c r="AA46" s="57" t="n">
        <x:v>46260</x:v>
      </x:c>
      <x:c r="AB46" s="56" t="str"/>
      <x:c r="AC46" s="60" t="n">
        <x:v>1</x:v>
      </x:c>
      <x:c r="AD46" s="60" t="n">
        <x:v>0.5</x:v>
      </x:c>
      <x:c r="AE46" s="60" t="n">
        <x:v>0.5</x:v>
      </x:c>
      <x:c r="AF46" s="60" t="n">
        <x:v>0.75</x:v>
      </x:c>
      <x:c r="AG46" s="60" t="n">
        <x:v>1</x:v>
      </x:c>
      <x:c r="AH46" s="60" t="n">
        <x:v>0.75</x:v>
      </x:c>
      <x:c r="AI46" s="60" t="n">
        <x:v>0.75</x:v>
      </x:c>
      <x:c r="AJ46" s="60" t="n">
        <x:v>1</x:v>
      </x:c>
      <x:c r="AK46" s="60" t="n">
        <x:v>1</x:v>
      </x:c>
      <x:c r="AL46" s="61" t="n">
        <x:f>AC46*'评分规则'!$B$4+AD46*'评分规则'!$B$5+AE46*'评分规则'!$B$6+AF46*'评分规则'!$B$7+AG46*'评分规则'!$B$8+AH46*'评分规则'!$B$9+AI46*'评分规则'!$B$10+AJ46*'评分规则'!$B$11+AK46*'评分规则'!$B$12</x:f>
        <x:v>77.5</x:v>
      </x:c>
      <x:c r="AM46" s="62" t="str">
        <x:f>IF(AL46&gt;='评分规则'!$F$4,"S",IF(AL46&gt;='评分规则'!$F$5,"A",IF(AL46&gt;='评分规则'!$F$6,"B","C")))</x:f>
        <x:v>B</x:v>
      </x:c>
      <x:c r="AN46" s="63" t="str">
        <x:v>否</x:v>
      </x:c>
      <x:c r="AO46" s="63" t="str">
        <x:v>待投递</x:v>
      </x:c>
      <x:c r="AP46" s="64"/>
      <x:c r="AQ46" s="63" t="str"/>
    </x:row>
    <x:row r="47" ht="66" customHeight="1">
      <x:c r="A47" s="56" t="str">
        <x:v>SZ007</x:v>
      </x:c>
      <x:c r="B47" s="56" t="str">
        <x:v>深圳</x:v>
      </x:c>
      <x:c r="C47" s="56" t="str">
        <x:v>豹拓智能</x:v>
      </x:c>
      <x:c r="D47" s="56" t="str">
        <x:v>企业智能体+IT运维</x:v>
      </x:c>
      <x:c r="E47" s="56" t="str">
        <x:v>AI智能体工程师</x:v>
      </x:c>
      <x:c r="F47" s="56" t="str">
        <x:v>社招/全职</x:v>
      </x:c>
      <x:c r="G47" s="56" t="str">
        <x:v>公司直招</x:v>
      </x:c>
      <x:c r="H47" s="57" t="n">
        <x:v>46226</x:v>
      </x:c>
      <x:c r="I47" s="56" t="str">
        <x:v>页面在招；投递前再次确认</x:v>
      </x:c>
      <x:c r="J47" s="58" t="str">
        <x:v>20–35K/月</x:v>
      </x:c>
      <x:c r="K47" s="59" t="n">
        <x:v>20</x:v>
      </x:c>
      <x:c r="L47" s="59" t="n">
        <x:v>35</x:v>
      </x:c>
      <x:c r="M47" s="58" t="str">
        <x:v>K/月</x:v>
      </x:c>
      <x:c r="N47" s="59"/>
      <x:c r="O47" s="59" t="n">
        <x:f>IF(M47="K/月",(K47+L47)/2,IF(M47="万/年",(K47+L47)*10/24,""))</x:f>
        <x:v>27.5</x:v>
      </x:c>
      <x:c r="P47" s="59" t="n">
        <x:f>IF(M47="K/月",(K47+L47)*IF(N47&gt;0,N47,12)/20,IF(M47="万/年",(K47+L47)/2,""))</x:f>
        <x:v>33</x:v>
      </x:c>
      <x:c r="Q47" s="56" t="str">
        <x:v>未披露</x:v>
      </x:c>
      <x:c r="R47" s="56" t="str">
        <x:v>未披露</x:v>
      </x:c>
      <x:c r="S47" s="56" t="str">
        <x:v>公开信息未披露</x:v>
      </x:c>
      <x:c r="T47" s="56" t="str">
        <x:v>5年以上；Dify/Coze/LangChain、RAG/Function Calling、ERP/MES/OA、数据仓库/BI与IT运维。</x:v>
      </x:c>
      <x:c r="U47" s="56" t="str">
        <x:v>Agent平台、企业系统集成与后端经验有用。</x:v>
      </x:c>
      <x:c r="V47" s="56" t="str">
        <x:v>岗位混合IT运维/信息化且要求5年；可能稀释Agent研发深度。</x:v>
      </x:c>
      <x:c r="W47" s="56" t="str">
        <x:v>https://www.liepin.com/job/1983829667.shtml</x:v>
      </x:c>
      <x:c r="X47" s="56" t="str">
        <x:v>https://www.liepin.com/job/1983829667.shtml</x:v>
      </x:c>
      <x:c r="Y47" s="56" t="str">
        <x:v>无可验证公开码</x:v>
      </x:c>
      <x:c r="Z47" s="56" t="str">
        <x:v>B</x:v>
      </x:c>
      <x:c r="AA47" s="57" t="n">
        <x:v>46260</x:v>
      </x:c>
      <x:c r="AB47" s="56" t="str"/>
      <x:c r="AC47" s="60" t="n">
        <x:v>1</x:v>
      </x:c>
      <x:c r="AD47" s="60" t="n">
        <x:v>0.75</x:v>
      </x:c>
      <x:c r="AE47" s="60" t="n">
        <x:v>0.75</x:v>
      </x:c>
      <x:c r="AF47" s="60" t="n">
        <x:v>0.75</x:v>
      </x:c>
      <x:c r="AG47" s="60" t="n">
        <x:v>0.25</x:v>
      </x:c>
      <x:c r="AH47" s="60" t="n">
        <x:v>0.5</x:v>
      </x:c>
      <x:c r="AI47" s="60" t="n">
        <x:v>1</x:v>
      </x:c>
      <x:c r="AJ47" s="60" t="n">
        <x:v>1</x:v>
      </x:c>
      <x:c r="AK47" s="60" t="n">
        <x:v>0.75</x:v>
      </x:c>
      <x:c r="AL47" s="61" t="n">
        <x:f>AC47*'评分规则'!$B$4+AD47*'评分规则'!$B$5+AE47*'评分规则'!$B$6+AF47*'评分规则'!$B$7+AG47*'评分规则'!$B$8+AH47*'评分规则'!$B$9+AI47*'评分规则'!$B$10+AJ47*'评分规则'!$B$11+AK47*'评分规则'!$B$12</x:f>
        <x:v>76.25</x:v>
      </x:c>
      <x:c r="AM47" s="62" t="str">
        <x:f>IF(AL47&gt;='评分规则'!$F$4,"S",IF(AL47&gt;='评分规则'!$F$5,"A",IF(AL47&gt;='评分规则'!$F$6,"B","C")))</x:f>
        <x:v>B</x:v>
      </x:c>
      <x:c r="AN47" s="63" t="str">
        <x:v>否</x:v>
      </x:c>
      <x:c r="AO47" s="63" t="str">
        <x:v>待投递</x:v>
      </x:c>
      <x:c r="AP47" s="64"/>
      <x:c r="AQ47" s="63" t="str"/>
    </x:row>
    <x:row r="48" ht="66" customHeight="1">
      <x:c r="A48" s="56" t="str">
        <x:v>SZ009</x:v>
      </x:c>
      <x:c r="B48" s="56" t="str">
        <x:v>深圳</x:v>
      </x:c>
      <x:c r="C48" s="56" t="str">
        <x:v>OPPO</x:v>
      </x:c>
      <x:c r="D48" s="56" t="str">
        <x:v>智能助理算法</x:v>
      </x:c>
      <x:c r="E48" s="56" t="str">
        <x:v>NLP算法专家</x:v>
      </x:c>
      <x:c r="F48" s="56" t="str">
        <x:v>社招/全职</x:v>
      </x:c>
      <x:c r="G48" s="56" t="str">
        <x:v>公司直招</x:v>
      </x:c>
      <x:c r="H48" s="57" t="n">
        <x:v>46222</x:v>
      </x:c>
      <x:c r="I48" s="56" t="str">
        <x:v>页面在招；投递前再次确认</x:v>
      </x:c>
      <x:c r="J48" s="58" t="str">
        <x:v>未披露</x:v>
      </x:c>
      <x:c r="K48" s="59"/>
      <x:c r="L48" s="59"/>
      <x:c r="M48" s="58" t="str">
        <x:v>未披露</x:v>
      </x:c>
      <x:c r="N48" s="59"/>
      <x:c r="O48" s="59" t="str">
        <x:f>IF(M48="K/月",(K48+L48)/2,IF(M48="万/年",(K48+L48)*10/24,""))</x:f>
      </x:c>
      <x:c r="P48" s="59" t="str">
        <x:f>IF(M48="K/月",(K48+L48)*IF(N48&gt;0,N48,12)/20,IF(M48="万/年",(K48+L48)/2,""))</x:f>
      </x:c>
      <x:c r="Q48" s="56" t="str">
        <x:v>未披露</x:v>
      </x:c>
      <x:c r="R48" s="56" t="str">
        <x:v>未披露</x:v>
      </x:c>
      <x:c r="S48" s="56" t="str">
        <x:v>公开信息未披露</x:v>
      </x:c>
      <x:c r="T48" s="56" t="str">
        <x:v>5-10年、硕士；智能体架构、意图/规划/记忆/工具/多Agent，PyTorch/TensorFlow/LangChain，大规模产品化。</x:v>
      </x:c>
      <x:c r="U48" s="56" t="str">
        <x:v>端到端Agent与大型产品经验可讲。</x:v>
      </x:c>
      <x:c r="V48" s="56" t="str">
        <x:v>年限和专家级算法深度偏高；建议仅作为冲刺。</x:v>
      </x:c>
      <x:c r="W48" s="56" t="str">
        <x:v>https://career.oppo.com/official/oppo/recruitment/post/2031682259614556161?recruitType=SOCIAL-RECRUITMENT</x:v>
      </x:c>
      <x:c r="X48" s="56" t="str">
        <x:v>https://career.oppo.com/official/oppo/recruitment/post/2031682259614556161?recruitType=SOCIAL-RECRUITMENT</x:v>
      </x:c>
      <x:c r="Y48" s="56" t="str">
        <x:v>无可验证公开码</x:v>
      </x:c>
      <x:c r="Z48" s="56" t="str">
        <x:v>A</x:v>
      </x:c>
      <x:c r="AA48" s="57" t="n">
        <x:v>46260</x:v>
      </x:c>
      <x:c r="AB48" s="56" t="str"/>
      <x:c r="AC48" s="60" t="n">
        <x:v>1</x:v>
      </x:c>
      <x:c r="AD48" s="60" t="n">
        <x:v>0.5</x:v>
      </x:c>
      <x:c r="AE48" s="60" t="n">
        <x:v>0.75</x:v>
      </x:c>
      <x:c r="AF48" s="60" t="n">
        <x:v>0.75</x:v>
      </x:c>
      <x:c r="AG48" s="60" t="n">
        <x:v>0.5</x:v>
      </x:c>
      <x:c r="AH48" s="60" t="n">
        <x:v>0.25</x:v>
      </x:c>
      <x:c r="AI48" s="60" t="n">
        <x:v>1</x:v>
      </x:c>
      <x:c r="AJ48" s="60" t="n">
        <x:v>1</x:v>
      </x:c>
      <x:c r="AK48" s="60" t="n">
        <x:v>1</x:v>
      </x:c>
      <x:c r="AL48" s="61" t="n">
        <x:f>AC48*'评分规则'!$B$4+AD48*'评分规则'!$B$5+AE48*'评分规则'!$B$6+AF48*'评分规则'!$B$7+AG48*'评分规则'!$B$8+AH48*'评分规则'!$B$9+AI48*'评分规则'!$B$10+AJ48*'评分规则'!$B$11+AK48*'评分规则'!$B$12</x:f>
        <x:v>73.75</x:v>
      </x:c>
      <x:c r="AM48" s="62" t="str">
        <x:f>IF(AL48&gt;='评分规则'!$F$4,"S",IF(AL48&gt;='评分规则'!$F$5,"A",IF(AL48&gt;='评分规则'!$F$6,"B","C")))</x:f>
        <x:v>B</x:v>
      </x:c>
      <x:c r="AN48" s="63" t="str">
        <x:v>否</x:v>
      </x:c>
      <x:c r="AO48" s="63" t="str">
        <x:v>待投递</x:v>
      </x:c>
      <x:c r="AP48" s="64"/>
      <x:c r="AQ48" s="63" t="str"/>
    </x:row>
    <x:row r="49" ht="66" customHeight="1">
      <x:c r="A49" s="56" t="str">
        <x:v>SU008</x:v>
      </x:c>
      <x:c r="B49" s="56" t="str">
        <x:v>苏州</x:v>
      </x:c>
      <x:c r="C49" s="56" t="str">
        <x:v>赛腾股份</x:v>
      </x:c>
      <x:c r="D49" s="56" t="str">
        <x:v>AI应用</x:v>
      </x:c>
      <x:c r="E49" s="56" t="str">
        <x:v>AI应用工程师</x:v>
      </x:c>
      <x:c r="F49" s="56" t="str">
        <x:v>社招/全职</x:v>
      </x:c>
      <x:c r="G49" s="56" t="str">
        <x:v>公司直招</x:v>
      </x:c>
      <x:c r="H49" s="57"/>
      <x:c r="I49" s="56" t="str">
        <x:v>页面在招；投递前再次确认</x:v>
      </x:c>
      <x:c r="J49" s="58" t="str">
        <x:v>12–24K/月</x:v>
      </x:c>
      <x:c r="K49" s="59" t="n">
        <x:v>12</x:v>
      </x:c>
      <x:c r="L49" s="59" t="n">
        <x:v>24</x:v>
      </x:c>
      <x:c r="M49" s="58" t="str">
        <x:v>K/月</x:v>
      </x:c>
      <x:c r="N49" s="59"/>
      <x:c r="O49" s="59" t="n">
        <x:f>IF(M49="K/月",(K49+L49)/2,IF(M49="万/年",(K49+L49)*10/24,""))</x:f>
        <x:v>18</x:v>
      </x:c>
      <x:c r="P49" s="59" t="n">
        <x:f>IF(M49="K/月",(K49+L49)*IF(N49&gt;0,N49,12)/20,IF(M49="万/年",(K49+L49)/2,""))</x:f>
        <x:v>21.6</x:v>
      </x:c>
      <x:c r="Q49" s="56" t="str">
        <x:v>未披露</x:v>
      </x:c>
      <x:c r="R49" s="56" t="str">
        <x:v>未披露</x:v>
      </x:c>
      <x:c r="S49" s="56" t="str">
        <x:v>公开信息未披露</x:v>
      </x:c>
      <x:c r="T49" s="56" t="str">
        <x:v>1-3年、本科；主流开源大模型、AI应用框架、向量数据库与Prompt工程（智联搜索摘要）。</x:v>
      </x:c>
      <x:c r="U49" s="56" t="str">
        <x:v>RAG、向量检索和后端工程能力匹配。</x:v>
      </x:c>
      <x:c r="V49" s="56" t="str">
        <x:v>职责信息有限且岗位可能偏制造业落地；需确认Agent占比和团队。</x:v>
      </x:c>
      <x:c r="W49" s="56" t="str">
        <x:v>https://www.zhaopin.com/sou/jl639/kwB4JMK8ANHC/p1</x:v>
      </x:c>
      <x:c r="X49" s="56" t="str">
        <x:v>https://www.zhaopin.com/sou/jl639/kwB4JMK8ANHC/p1</x:v>
      </x:c>
      <x:c r="Y49" s="56" t="str">
        <x:v>无可验证公开码</x:v>
      </x:c>
      <x:c r="Z49" s="56" t="str">
        <x:v>B</x:v>
      </x:c>
      <x:c r="AA49" s="57" t="n">
        <x:v>46260</x:v>
      </x:c>
      <x:c r="AB49" s="56" t="str"/>
      <x:c r="AC49" s="60" t="n">
        <x:v>0.75</x:v>
      </x:c>
      <x:c r="AD49" s="60" t="n">
        <x:v>1</x:v>
      </x:c>
      <x:c r="AE49" s="60" t="n">
        <x:v>0.75</x:v>
      </x:c>
      <x:c r="AF49" s="60" t="n">
        <x:v>0.5</x:v>
      </x:c>
      <x:c r="AG49" s="60" t="n">
        <x:v>0.25</x:v>
      </x:c>
      <x:c r="AH49" s="60" t="n">
        <x:v>0.75</x:v>
      </x:c>
      <x:c r="AI49" s="60" t="n">
        <x:v>1</x:v>
      </x:c>
      <x:c r="AJ49" s="60" t="n">
        <x:v>1</x:v>
      </x:c>
      <x:c r="AK49" s="60" t="n">
        <x:v>0.5</x:v>
      </x:c>
      <x:c r="AL49" s="61" t="n">
        <x:f>AC49*'评分规则'!$B$4+AD49*'评分规则'!$B$5+AE49*'评分规则'!$B$6+AF49*'评分规则'!$B$7+AG49*'评分规则'!$B$8+AH49*'评分规则'!$B$9+AI49*'评分规则'!$B$10+AJ49*'评分规则'!$B$11+AK49*'评分规则'!$B$12</x:f>
        <x:v>73.75</x:v>
      </x:c>
      <x:c r="AM49" s="62" t="str">
        <x:f>IF(AL49&gt;='评分规则'!$F$4,"S",IF(AL49&gt;='评分规则'!$F$5,"A",IF(AL49&gt;='评分规则'!$F$6,"B","C")))</x:f>
        <x:v>B</x:v>
      </x:c>
      <x:c r="AN49" s="63" t="str">
        <x:v>否</x:v>
      </x:c>
      <x:c r="AO49" s="63" t="str">
        <x:v>待投递</x:v>
      </x:c>
      <x:c r="AP49" s="64"/>
      <x:c r="AQ49" s="63" t="str"/>
    </x:row>
    <x:row r="50" ht="66" customHeight="1">
      <x:c r="A50" s="56" t="str">
        <x:v>B008</x:v>
      </x:c>
      <x:c r="B50" s="56" t="str">
        <x:v>北京</x:v>
      </x:c>
      <x:c r="C50" s="56" t="str">
        <x:v>华为云</x:v>
      </x:c>
      <x:c r="D50" s="56" t="str">
        <x:v>算法创新Lab</x:v>
      </x:c>
      <x:c r="E50" s="56" t="str">
        <x:v>AI Agent研发工程师</x:v>
      </x:c>
      <x:c r="F50" s="56" t="str">
        <x:v>社招/全职</x:v>
      </x:c>
      <x:c r="G50" s="56" t="str">
        <x:v>公司直招</x:v>
      </x:c>
      <x:c r="H50" s="57"/>
      <x:c r="I50" s="56" t="str">
        <x:v>页面在招；投递前再次确认</x:v>
      </x:c>
      <x:c r="J50" s="58" t="str">
        <x:v>未披露</x:v>
      </x:c>
      <x:c r="K50" s="59"/>
      <x:c r="L50" s="59"/>
      <x:c r="M50" s="58" t="str">
        <x:v>未披露</x:v>
      </x:c>
      <x:c r="N50" s="59"/>
      <x:c r="O50" s="59" t="str">
        <x:f>IF(M50="K/月",(K50+L50)/2,IF(M50="万/年",(K50+L50)*10/24,""))</x:f>
      </x:c>
      <x:c r="P50" s="59" t="str">
        <x:f>IF(M50="K/月",(K50+L50)*IF(N50&gt;0,N50,12)/20,IF(M50="万/年",(K50+L50)/2,""))</x:f>
      </x:c>
      <x:c r="Q50" s="56" t="str">
        <x:v>未披露</x:v>
      </x:c>
      <x:c r="R50" s="56" t="str">
        <x:v>未披露</x:v>
      </x:c>
      <x:c r="S50" s="56" t="str">
        <x:v>公开信息未披露</x:v>
      </x:c>
      <x:c r="T50" s="56" t="str">
        <x:v>强化学习/规划推理的多模态 Agent；大规模训推部署；Python/C/C++/Java/Go；LangChain/LlamaIndex/AutoGen/QwenAgent。</x:v>
      </x:c>
      <x:c r="U50" s="56" t="str">
        <x:v>生产级工程与Agent框架经验有优势。</x:v>
      </x:c>
      <x:c r="V50" s="56" t="str">
        <x:v>偏算法研究、强化学习/元学习/因果推理；需要判断团队是否接受工程型候选人。</x:v>
      </x:c>
      <x:c r="W50" s="56" t="str">
        <x:v>https://www.huaweicloud.com/lab/algorithm/social_recruitment.html</x:v>
      </x:c>
      <x:c r="X50" s="56" t="str">
        <x:v>https://www.huaweicloud.com/lab/algorithm/social_recruitment.html</x:v>
      </x:c>
      <x:c r="Y50" s="56" t="str">
        <x:v>无可验证公开码</x:v>
      </x:c>
      <x:c r="Z50" s="56" t="str">
        <x:v>A</x:v>
      </x:c>
      <x:c r="AA50" s="57" t="n">
        <x:v>46260</x:v>
      </x:c>
      <x:c r="AB50" s="56" t="str"/>
      <x:c r="AC50" s="60" t="n">
        <x:v>1</x:v>
      </x:c>
      <x:c r="AD50" s="60" t="n">
        <x:v>0.25</x:v>
      </x:c>
      <x:c r="AE50" s="60" t="n">
        <x:v>0.75</x:v>
      </x:c>
      <x:c r="AF50" s="60" t="n">
        <x:v>0.5</x:v>
      </x:c>
      <x:c r="AG50" s="60" t="n">
        <x:v>0.5</x:v>
      </x:c>
      <x:c r="AH50" s="60" t="n">
        <x:v>0.75</x:v>
      </x:c>
      <x:c r="AI50" s="60" t="n">
        <x:v>1</x:v>
      </x:c>
      <x:c r="AJ50" s="60" t="n">
        <x:v>1</x:v>
      </x:c>
      <x:c r="AK50" s="60" t="n">
        <x:v>1</x:v>
      </x:c>
      <x:c r="AL50" s="61" t="n">
        <x:f>AC50*'评分规则'!$B$4+AD50*'评分规则'!$B$5+AE50*'评分规则'!$B$6+AF50*'评分规则'!$B$7+AG50*'评分规则'!$B$8+AH50*'评分规则'!$B$9+AI50*'评分规则'!$B$10+AJ50*'评分规则'!$B$11+AK50*'评分规则'!$B$12</x:f>
        <x:v>72.5</x:v>
      </x:c>
      <x:c r="AM50" s="62" t="str">
        <x:f>IF(AL50&gt;='评分规则'!$F$4,"S",IF(AL50&gt;='评分规则'!$F$5,"A",IF(AL50&gt;='评分规则'!$F$6,"B","C")))</x:f>
        <x:v>B</x:v>
      </x:c>
      <x:c r="AN50" s="63" t="str">
        <x:v>否</x:v>
      </x:c>
      <x:c r="AO50" s="63" t="str">
        <x:v>待投递</x:v>
      </x:c>
      <x:c r="AP50" s="64"/>
      <x:c r="AQ50" s="63" t="str"/>
    </x:row>
    <x:row r="51" ht="66" customHeight="1">
      <x:c r="A51" s="56" t="str">
        <x:v>S009</x:v>
      </x:c>
      <x:c r="B51" s="56" t="str">
        <x:v>上海</x:v>
      </x:c>
      <x:c r="C51" s="56" t="str">
        <x:v>字节跳动</x:v>
      </x:c>
      <x:c r="D51" s="56" t="str">
        <x:v>TikTok研发</x:v>
      </x:c>
      <x:c r="E51" s="56" t="str">
        <x:v>大模型Agent算法工程师</x:v>
      </x:c>
      <x:c r="F51" s="56" t="str">
        <x:v>社招/全职</x:v>
      </x:c>
      <x:c r="G51" s="56" t="str">
        <x:v>公司直招</x:v>
      </x:c>
      <x:c r="H51" s="57" t="n">
        <x:v>46168</x:v>
      </x:c>
      <x:c r="I51" s="56" t="str">
        <x:v>页面在招；投递前再次确认</x:v>
      </x:c>
      <x:c r="J51" s="58" t="str">
        <x:v>未披露</x:v>
      </x:c>
      <x:c r="K51" s="59"/>
      <x:c r="L51" s="59"/>
      <x:c r="M51" s="58" t="str">
        <x:v>未披露</x:v>
      </x:c>
      <x:c r="N51" s="59"/>
      <x:c r="O51" s="59" t="str">
        <x:f>IF(M51="K/月",(K51+L51)/2,IF(M51="万/年",(K51+L51)*10/24,""))</x:f>
      </x:c>
      <x:c r="P51" s="59" t="str">
        <x:f>IF(M51="K/月",(K51+L51)*IF(N51&gt;0,N51,12)/20,IF(M51="万/年",(K51+L51)/2,""))</x:f>
      </x:c>
      <x:c r="Q51" s="56" t="str">
        <x:v>未披露</x:v>
      </x:c>
      <x:c r="R51" s="56" t="str">
        <x:v>未披露</x:v>
      </x:c>
      <x:c r="S51" s="56" t="str">
        <x:v>公开信息未披露</x:v>
      </x:c>
      <x:c r="T51" s="56" t="str">
        <x:v>多模态内容理解、Agentic Workflow、后训练/对齐、Agent训练与应用；论文/开源优先。</x:v>
      </x:c>
      <x:c r="U51" s="56" t="str">
        <x:v>Agent评测与工作流经验可迁移。</x:v>
      </x:c>
      <x:c r="V51" s="56" t="str">
        <x:v>明显偏模型算法、强化学习/后训练与论文；作为冲刺，不应占用首批名额。</x:v>
      </x:c>
      <x:c r="W51" s="56" t="str">
        <x:v>https://jobs.bytedance.com/experienced/position/7644119463281264949/detail</x:v>
      </x:c>
      <x:c r="X51" s="56" t="str">
        <x:v>https://jobs.ultraai.site/jobs/bytedance/7644119463281264949</x:v>
      </x:c>
      <x:c r="Y51" s="56" t="str">
        <x:v>无可验证公开码</x:v>
      </x:c>
      <x:c r="Z51" s="56" t="str">
        <x:v>A</x:v>
      </x:c>
      <x:c r="AA51" s="57" t="n">
        <x:v>46260</x:v>
      </x:c>
      <x:c r="AB51" s="56" t="str"/>
      <x:c r="AC51" s="60" t="n">
        <x:v>1</x:v>
      </x:c>
      <x:c r="AD51" s="60" t="n">
        <x:v>0.25</x:v>
      </x:c>
      <x:c r="AE51" s="60" t="n">
        <x:v>0.5</x:v>
      </x:c>
      <x:c r="AF51" s="60" t="n">
        <x:v>0.5</x:v>
      </x:c>
      <x:c r="AG51" s="60" t="n">
        <x:v>0.75</x:v>
      </x:c>
      <x:c r="AH51" s="60" t="n">
        <x:v>0.75</x:v>
      </x:c>
      <x:c r="AI51" s="60" t="n">
        <x:v>1</x:v>
      </x:c>
      <x:c r="AJ51" s="60" t="n">
        <x:v>1</x:v>
      </x:c>
      <x:c r="AK51" s="60" t="n">
        <x:v>1</x:v>
      </x:c>
      <x:c r="AL51" s="61" t="n">
        <x:f>AC51*'评分规则'!$B$4+AD51*'评分规则'!$B$5+AE51*'评分规则'!$B$6+AF51*'评分规则'!$B$7+AG51*'评分规则'!$B$8+AH51*'评分规则'!$B$9+AI51*'评分规则'!$B$10+AJ51*'评分规则'!$B$11+AK51*'评分规则'!$B$12</x:f>
        <x:v>71.25</x:v>
      </x:c>
      <x:c r="AM51" s="62" t="str">
        <x:f>IF(AL51&gt;='评分规则'!$F$4,"S",IF(AL51&gt;='评分规则'!$F$5,"A",IF(AL51&gt;='评分规则'!$F$6,"B","C")))</x:f>
        <x:v>B</x:v>
      </x:c>
      <x:c r="AN51" s="63" t="str">
        <x:v>否</x:v>
      </x:c>
      <x:c r="AO51" s="63" t="str">
        <x:v>待投递</x:v>
      </x:c>
      <x:c r="AP51" s="64"/>
      <x:c r="AQ51" s="63" t="str"/>
    </x:row>
    <x:row r="52" ht="66" customHeight="1">
      <x:c r="A52" s="56" t="str">
        <x:v>SU004</x:v>
      </x:c>
      <x:c r="B52" s="56" t="str">
        <x:v>苏州</x:v>
      </x:c>
      <x:c r="C52" s="56" t="str">
        <x:v>苏州优谱德精密仪器</x:v>
      </x:c>
      <x:c r="D52" s="56" t="str">
        <x:v>AI Agent应用</x:v>
      </x:c>
      <x:c r="E52" s="56" t="str">
        <x:v>AI Agent应用开发工程师</x:v>
      </x:c>
      <x:c r="F52" s="56" t="str">
        <x:v>社招/全职</x:v>
      </x:c>
      <x:c r="G52" s="56" t="str">
        <x:v>公司直招</x:v>
      </x:c>
      <x:c r="H52" s="57"/>
      <x:c r="I52" s="56" t="str">
        <x:v>页面在招；投递前再次确认</x:v>
      </x:c>
      <x:c r="J52" s="58" t="str">
        <x:v>10–20K × 16薪</x:v>
      </x:c>
      <x:c r="K52" s="59" t="n">
        <x:v>10</x:v>
      </x:c>
      <x:c r="L52" s="59" t="n">
        <x:v>20</x:v>
      </x:c>
      <x:c r="M52" s="58" t="str">
        <x:v>K/月</x:v>
      </x:c>
      <x:c r="N52" s="59" t="n">
        <x:v>16</x:v>
      </x:c>
      <x:c r="O52" s="59" t="n">
        <x:f>IF(M52="K/月",(K52+L52)/2,IF(M52="万/年",(K52+L52)*10/24,""))</x:f>
        <x:v>15</x:v>
      </x:c>
      <x:c r="P52" s="59" t="n">
        <x:f>IF(M52="K/月",(K52+L52)*IF(N52&gt;0,N52,12)/20,IF(M52="万/年",(K52+L52)/2,""))</x:f>
        <x:v>24</x:v>
      </x:c>
      <x:c r="Q52" s="56" t="str">
        <x:v>未披露</x:v>
      </x:c>
      <x:c r="R52" s="56" t="str">
        <x:v>未披露</x:v>
      </x:c>
      <x:c r="S52" s="56" t="str">
        <x:v>公开信息未披露</x:v>
      </x:c>
      <x:c r="T52" s="56" t="str">
        <x:v>1-3年；Python/Java、大模型算法与Agent应用（公开搜索页信息有限）。</x:v>
      </x:c>
      <x:c r="U52" s="56" t="str">
        <x:v>Agent与后端能力超出要求，16薪结构值得核实。</x:v>
      </x:c>
      <x:c r="V52" s="56" t="str">
        <x:v>信息颗粒度有限；需在智联详情确认职责、是否真正Agent核心开发。</x:v>
      </x:c>
      <x:c r="W52" s="56" t="str">
        <x:v>https://www.zhaopin.com/sou/jl639/kw01GG0QATSLT0MNG8</x:v>
      </x:c>
      <x:c r="X52" s="56" t="str">
        <x:v>https://www.zhaopin.com/sou/jl639/kw01GG0QATSLT0MNG8</x:v>
      </x:c>
      <x:c r="Y52" s="56" t="str">
        <x:v>无可验证公开码</x:v>
      </x:c>
      <x:c r="Z52" s="56" t="str">
        <x:v>B</x:v>
      </x:c>
      <x:c r="AA52" s="57" t="n">
        <x:v>46260</x:v>
      </x:c>
      <x:c r="AB52" s="56" t="str"/>
      <x:c r="AC52" s="60" t="n">
        <x:v>1</x:v>
      </x:c>
      <x:c r="AD52" s="60" t="n">
        <x:v>0.5</x:v>
      </x:c>
      <x:c r="AE52" s="60" t="n">
        <x:v>0.75</x:v>
      </x:c>
      <x:c r="AF52" s="60" t="n">
        <x:v>0.5</x:v>
      </x:c>
      <x:c r="AG52" s="60" t="n">
        <x:v>0.25</x:v>
      </x:c>
      <x:c r="AH52" s="60" t="n">
        <x:v>0.75</x:v>
      </x:c>
      <x:c r="AI52" s="60" t="n">
        <x:v>1</x:v>
      </x:c>
      <x:c r="AJ52" s="60" t="n">
        <x:v>1</x:v>
      </x:c>
      <x:c r="AK52" s="60" t="n">
        <x:v>0.5</x:v>
      </x:c>
      <x:c r="AL52" s="61" t="n">
        <x:f>AC52*'评分规则'!$B$4+AD52*'评分规则'!$B$5+AE52*'评分规则'!$B$6+AF52*'评分规则'!$B$7+AG52*'评分规则'!$B$8+AH52*'评分规则'!$B$9+AI52*'评分规则'!$B$10+AJ52*'评分规则'!$B$11+AK52*'评分规则'!$B$12</x:f>
        <x:v>71.25</x:v>
      </x:c>
      <x:c r="AM52" s="62" t="str">
        <x:f>IF(AL52&gt;='评分规则'!$F$4,"S",IF(AL52&gt;='评分规则'!$F$5,"A",IF(AL52&gt;='评分规则'!$F$6,"B","C")))</x:f>
        <x:v>B</x:v>
      </x:c>
      <x:c r="AN52" s="63" t="str">
        <x:v>否</x:v>
      </x:c>
      <x:c r="AO52" s="63" t="str">
        <x:v>待投递</x:v>
      </x:c>
      <x:c r="AP52" s="64"/>
      <x:c r="AQ52" s="63" t="str"/>
    </x:row>
    <x:row r="53" ht="66" customHeight="1">
      <x:c r="A53" s="65" t="str">
        <x:v>SU005</x:v>
      </x:c>
      <x:c r="B53" s="65" t="str">
        <x:v>苏州</x:v>
      </x:c>
      <x:c r="C53" s="65" t="str">
        <x:v>苏州智能交通信息科技（智联猎头代招）</x:v>
      </x:c>
      <x:c r="D53" s="65" t="str">
        <x:v>大模型架构</x:v>
      </x:c>
      <x:c r="E53" s="65" t="str">
        <x:v>大模型应用架构师</x:v>
      </x:c>
      <x:c r="F53" s="65" t="str">
        <x:v>社招/全职</x:v>
      </x:c>
      <x:c r="G53" s="65" t="str">
        <x:v>智联猎头代招</x:v>
      </x:c>
      <x:c r="H53" s="66"/>
      <x:c r="I53" s="65" t="str">
        <x:v>页面在招；投递前再次确认</x:v>
      </x:c>
      <x:c r="J53" s="67" t="str">
        <x:v>25–30K/月</x:v>
      </x:c>
      <x:c r="K53" s="68" t="n">
        <x:v>25</x:v>
      </x:c>
      <x:c r="L53" s="68" t="n">
        <x:v>30</x:v>
      </x:c>
      <x:c r="M53" s="67" t="str">
        <x:v>K/月</x:v>
      </x:c>
      <x:c r="N53" s="68"/>
      <x:c r="O53" s="68" t="n">
        <x:f>IF(M53="K/月",(K53+L53)/2,IF(M53="万/年",(K53+L53)*10/24,""))</x:f>
        <x:v>27.5</x:v>
      </x:c>
      <x:c r="P53" s="68" t="n">
        <x:f>IF(M53="K/月",(K53+L53)*IF(N53&gt;0,N53,12)/20,IF(M53="万/年",(K53+L53)/2,""))</x:f>
        <x:v>33</x:v>
      </x:c>
      <x:c r="Q53" s="65" t="str">
        <x:v>未披露</x:v>
      </x:c>
      <x:c r="R53" s="65" t="str">
        <x:v>未披露</x:v>
      </x:c>
      <x:c r="S53" s="65" t="str">
        <x:v>公开信息未披露</x:v>
      </x:c>
      <x:c r="T53" s="65" t="str">
        <x:v>5年以上、硕士；大模型架构、Transformer/BERT/GPT、分布式训练/压缩/加速、国产硬件适配、Python/C++。</x:v>
      </x:c>
      <x:c r="U53" s="65" t="str">
        <x:v>大型系统架构与AI应用经验可迁移。</x:v>
      </x:c>
      <x:c r="V53" s="65" t="str">
        <x:v>5年+且偏训推/国产硬件，Agent并非核心；客户/用工信息需猎头确认。</x:v>
      </x:c>
      <x:c r="W53" s="65" t="str">
        <x:v>https://www.zhaopin.com/jobdetail/CCL1318355140J40802112303.htm</x:v>
      </x:c>
      <x:c r="X53" s="65" t="str">
        <x:v>https://www.zhaopin.com/jobdetail/CCL1318355140J40802112303.htm</x:v>
      </x:c>
      <x:c r="Y53" s="65" t="str">
        <x:v>无可验证公开码</x:v>
      </x:c>
      <x:c r="Z53" s="65" t="str">
        <x:v>B</x:v>
      </x:c>
      <x:c r="AA53" s="66" t="n">
        <x:v>46260</x:v>
      </x:c>
      <x:c r="AB53" s="65" t="str"/>
      <x:c r="AC53" s="69" t="n">
        <x:v>0.5</x:v>
      </x:c>
      <x:c r="AD53" s="69" t="n">
        <x:v>0.25</x:v>
      </x:c>
      <x:c r="AE53" s="69" t="n">
        <x:v>1</x:v>
      </x:c>
      <x:c r="AF53" s="69" t="n">
        <x:v>0.25</x:v>
      </x:c>
      <x:c r="AG53" s="69" t="n">
        <x:v>0.25</x:v>
      </x:c>
      <x:c r="AH53" s="69" t="n">
        <x:v>0.5</x:v>
      </x:c>
      <x:c r="AI53" s="69" t="n">
        <x:v>0.75</x:v>
      </x:c>
      <x:c r="AJ53" s="69" t="n">
        <x:v>1</x:v>
      </x:c>
      <x:c r="AK53" s="69" t="n">
        <x:v>0.5</x:v>
      </x:c>
      <x:c r="AL53" s="70" t="n">
        <x:f>AC53*'评分规则'!$B$4+AD53*'评分规则'!$B$5+AE53*'评分规则'!$B$6+AF53*'评分规则'!$B$7+AG53*'评分规则'!$B$8+AH53*'评分规则'!$B$9+AI53*'评分规则'!$B$10+AJ53*'评分规则'!$B$11+AK53*'评分规则'!$B$12</x:f>
        <x:v>53.75</x:v>
      </x:c>
      <x:c r="AM53" s="71" t="str">
        <x:f>IF(AL53&gt;='评分规则'!$F$4,"S",IF(AL53&gt;='评分规则'!$F$5,"A",IF(AL53&gt;='评分规则'!$F$6,"B","C")))</x:f>
        <x:v>C</x:v>
      </x:c>
      <x:c r="AN53" s="72" t="str">
        <x:v>否</x:v>
      </x:c>
      <x:c r="AO53" s="72" t="str">
        <x:v>待投递</x:v>
      </x:c>
      <x:c r="AP53" s="73"/>
      <x:c r="AQ53" s="72" t="str"/>
    </x:row>
  </x:sheetData>
  <x:mergeCells>
    <x:mergeCell ref="A1:AQ1"/>
    <x:mergeCell ref="A2:AQ2"/>
  </x:mergeCells>
  <x:conditionalFormatting sqref="AL4:AL53">
    <x:cfRule type="dataBar" priority="1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{E5B668DE-7BA9-B5AA-DFB2-FCE11DE841E3}</x14:id>
        </x:ext>
      </x:extLst>
    </x:cfRule>
  </x:conditionalFormatting>
  <x:conditionalFormatting sqref="AM4:AM53">
    <x:cfRule type="containsText" dxfId="0" priority="2" operator="containsText" text="S"/>
    <x:cfRule type="containsText" dxfId="1" priority="3" operator="containsText" text="A"/>
    <x:cfRule type="containsText" dxfId="2" priority="4" operator="containsText" text="B"/>
    <x:cfRule type="containsText" dxfId="3" priority="5" operator="containsText" text="C"/>
  </x:conditionalFormatting>
  <x:dataValidations count="2">
    <x:dataValidation type="list" sqref="AN4:AN53">
      <x:formula1>"否,是"</x:formula1>
    </x:dataValidation>
    <x:dataValidation type="list" sqref="AO4:AO53">
      <x:formula1>"待投递,已投递,一面,二面,HR面,Offer,拒绝,暂停"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5fffe63f914a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B668DE-7BA9-B5AA-DFB2-FCE11DE841E3}">
            <x14:dataBar gradient="1">
              <x14:cfvo type="min"/>
              <x14:cfvo type="max"/>
              <x14:fillColor rgb="FF2F6BFF"/>
            </x14:dataBar>
          </x14:cfRule>
          <xm:sqref>AL4:AL53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2" hidden="0" customWidth="1"/>
    <x:col min="9" max="9" width="28" hidden="0" customWidth="1"/>
    <x:col min="10" max="10" width="42" hidden="0" customWidth="1"/>
  </x:cols>
  <x:sheetData>
    <x:row r="1" ht="34" customHeight="1">
      <x:c r="A1" s="3" t="str">
        <x:v>城市对比｜仅基于本次50个岗位样本</x:v>
      </x:c>
      <x:c r="B1" s="3" t="str">
        <x:v>城市对比｜仅基于本次50个岗位样本</x:v>
      </x:c>
      <x:c r="C1" s="3" t="str">
        <x:v>城市对比｜仅基于本次50个岗位样本</x:v>
      </x:c>
      <x:c r="D1" s="3" t="str">
        <x:v>城市对比｜仅基于本次50个岗位样本</x:v>
      </x:c>
      <x:c r="E1" s="3" t="str">
        <x:v>城市对比｜仅基于本次50个岗位样本</x:v>
      </x:c>
      <x:c r="F1" s="3" t="str">
        <x:v>城市对比｜仅基于本次50个岗位样本</x:v>
      </x:c>
      <x:c r="G1" s="3" t="str">
        <x:v>城市对比｜仅基于本次50个岗位样本</x:v>
      </x:c>
      <x:c r="H1" s="3" t="str">
        <x:v>城市对比｜仅基于本次50个岗位样本</x:v>
      </x:c>
      <x:c r="I1" s="3" t="str">
        <x:v>城市对比｜仅基于本次50个岗位样本</x:v>
      </x:c>
      <x:c r="J1" s="3" t="str">
        <x:v>城市对比｜仅基于本次50个岗位样本</x:v>
      </x:c>
    </x:row>
    <x:row r="2">
      <x:c r="A2" s="23" t="str">
        <x:v>“平均月薪中点”只统计公开月薪/年薪且做简单折算；不含奖金、股票、补贴，不能视为城市市场中位数。</x:v>
      </x:c>
      <x:c r="B2" s="23" t="str">
        <x:v>“平均月薪中点”只统计公开月薪/年薪且做简单折算；不含奖金、股票、补贴，不能视为城市市场中位数。</x:v>
      </x:c>
      <x:c r="C2" s="23" t="str">
        <x:v>“平均月薪中点”只统计公开月薪/年薪且做简单折算；不含奖金、股票、补贴，不能视为城市市场中位数。</x:v>
      </x:c>
      <x:c r="D2" s="23" t="str">
        <x:v>“平均月薪中点”只统计公开月薪/年薪且做简单折算；不含奖金、股票、补贴，不能视为城市市场中位数。</x:v>
      </x:c>
      <x:c r="E2" s="23" t="str">
        <x:v>“平均月薪中点”只统计公开月薪/年薪且做简单折算；不含奖金、股票、补贴，不能视为城市市场中位数。</x:v>
      </x:c>
      <x:c r="F2" s="23" t="str">
        <x:v>“平均月薪中点”只统计公开月薪/年薪且做简单折算；不含奖金、股票、补贴，不能视为城市市场中位数。</x:v>
      </x:c>
      <x:c r="G2" s="23" t="str">
        <x:v>“平均月薪中点”只统计公开月薪/年薪且做简单折算；不含奖金、股票、补贴，不能视为城市市场中位数。</x:v>
      </x:c>
      <x:c r="H2" s="23" t="str">
        <x:v>“平均月薪中点”只统计公开月薪/年薪且做简单折算；不含奖金、股票、补贴，不能视为城市市场中位数。</x:v>
      </x:c>
      <x:c r="I2" s="23" t="str">
        <x:v>“平均月薪中点”只统计公开月薪/年薪且做简单折算；不含奖金、股票、补贴，不能视为城市市场中位数。</x:v>
      </x:c>
      <x:c r="J2" s="23" t="str">
        <x:v>“平均月薪中点”只统计公开月薪/年薪且做简单折算；不含奖金、股票、补贴，不能视为城市市场中位数。</x:v>
      </x:c>
    </x:row>
    <x:row r="4">
      <x:c r="A4" s="80" t="str">
        <x:v>城市</x:v>
      </x:c>
      <x:c r="B4" s="80" t="str">
        <x:v>岗位数</x:v>
      </x:c>
      <x:c r="C4" s="80" t="str">
        <x:v>S/A级</x:v>
      </x:c>
      <x:c r="D4" s="80" t="str">
        <x:v>薪资样本</x:v>
      </x:c>
      <x:c r="E4" s="80" t="str">
        <x:v>平均月薪中点(K)</x:v>
      </x:c>
      <x:c r="F4" s="80" t="str">
        <x:v>远程/Hybrid明确</x:v>
      </x:c>
      <x:c r="G4" s="80" t="str">
        <x:v>工时有公开信息</x:v>
      </x:c>
      <x:c r="H4" s="80" t="str">
        <x:v>A类来源</x:v>
      </x:c>
      <x:c r="I4" s="80" t="str">
        <x:v>本次建议</x:v>
      </x:c>
      <x:c r="J4" s="80" t="str">
        <x:v>主要观察</x:v>
      </x:c>
    </x:row>
    <x:row r="5" ht="46" customHeight="1">
      <x:c r="A5" s="81" t="str">
        <x:v>北京</x:v>
      </x:c>
      <x:c r="B5" s="81" t="n">
        <x:f>COUNTIF('岗位清单'!$B$4:$B$53,A5)</x:f>
        <x:v>8</x:v>
      </x:c>
      <x:c r="C5" s="81" t="n">
        <x:f>COUNTIFS('岗位清单'!$B$4:$B$53,A5,'岗位清单'!$AM$4:$AM$53,"S")+COUNTIFS('岗位清单'!$B$4:$B$53,A5,'岗位清单'!$AM$4:$AM$53,"A")</x:f>
        <x:v>6</x:v>
      </x:c>
      <x:c r="D5" s="81" t="n">
        <x:f>COUNTIFS('岗位清单'!$B$4:$B$53,A5,'岗位清单'!$O$4:$O$53,"&gt;0")</x:f>
        <x:v>1</x:v>
      </x:c>
      <x:c r="E5" s="82" t="n">
        <x:f>IF(D5=0,"",SUMIFS('岗位清单'!$O$4:$O$53,'岗位清单'!$B$4:$B$53,A5)/D5)</x:f>
        <x:v>40</x:v>
      </x:c>
      <x:c r="F5" s="81" t="n">
        <x:f>COUNTIFS('岗位清单'!$B$4:$B$53,A5,'岗位清单'!$Q$4:$Q$53,"Hybrid（官方JD明确）")+COUNTIFS('岗位清单'!$B$4:$B$53,A5,'岗位清单'!$Q$4:$Q$53,"部分岗位可远程（需确认该岗）")+COUNTIFS('岗位清单'!$B$4:$B$53,A5,'岗位清单'!$Q$4:$Q$53,"全国远程（项目制）")+COUNTIFS('岗位清单'!$B$4:$B$53,A5,'岗位清单'!$Q$4:$Q$53,"全远程（或北京/上海）")</x:f>
        <x:v>0</x:v>
      </x:c>
      <x:c r="G5" s="81" t="n">
        <x:f>COUNTIFS('岗位清单'!$B$4:$B$53,A5,'岗位清单'!$R$4:$R$53,"&lt;&gt;未披露")</x:f>
        <x:v>0</x:v>
      </x:c>
      <x:c r="H5" s="81" t="n">
        <x:f>COUNTIFS('岗位清单'!$B$4:$B$53,A5,'岗位清单'!$Z$4:$Z$53,"A")</x:f>
        <x:v>6</x:v>
      </x:c>
      <x:c r="I5" s="81" t="str">
        <x:v>首选：平台/企业效率Agent</x:v>
      </x:c>
      <x:c r="J5" s="81" t="str">
        <x:v>大厂与平台岗密集；专家岗年限压力较大</x:v>
      </x:c>
    </x:row>
    <x:row r="6" ht="46" customHeight="1">
      <x:c r="A6" s="81" t="str">
        <x:v>上海</x:v>
      </x:c>
      <x:c r="B6" s="81" t="n">
        <x:f>COUNTIF('岗位清单'!$B$4:$B$53,A6)</x:f>
        <x:v>9</x:v>
      </x:c>
      <x:c r="C6" s="81" t="n">
        <x:f>COUNTIFS('岗位清单'!$B$4:$B$53,A6,'岗位清单'!$AM$4:$AM$53,"S")+COUNTIFS('岗位清单'!$B$4:$B$53,A6,'岗位清单'!$AM$4:$AM$53,"A")</x:f>
        <x:v>8</x:v>
      </x:c>
      <x:c r="D6" s="81" t="n">
        <x:f>COUNTIFS('岗位清单'!$B$4:$B$53,A6,'岗位清单'!$O$4:$O$53,"&gt;0")</x:f>
        <x:v>2</x:v>
      </x:c>
      <x:c r="E6" s="82" t="n">
        <x:f>IF(D6=0,"",SUMIFS('岗位清单'!$O$4:$O$53,'岗位清单'!$B$4:$B$53,A6)/D6)</x:f>
        <x:v>37.08333333333333</x:v>
      </x:c>
      <x:c r="F6" s="81" t="n">
        <x:f>COUNTIFS('岗位清单'!$B$4:$B$53,A6,'岗位清单'!$Q$4:$Q$53,"Hybrid（官方JD明确）")+COUNTIFS('岗位清单'!$B$4:$B$53,A6,'岗位清单'!$Q$4:$Q$53,"部分岗位可远程（需确认该岗）")+COUNTIFS('岗位清单'!$B$4:$B$53,A6,'岗位清单'!$Q$4:$Q$53,"全国远程（项目制）")+COUNTIFS('岗位清单'!$B$4:$B$53,A6,'岗位清单'!$Q$4:$Q$53,"全远程（或北京/上海）")</x:f>
        <x:v>1</x:v>
      </x:c>
      <x:c r="G6" s="81" t="n">
        <x:f>COUNTIFS('岗位清单'!$B$4:$B$53,A6,'岗位清单'!$R$4:$R$53,"&lt;&gt;未披露")</x:f>
        <x:v>0</x:v>
      </x:c>
      <x:c r="H6" s="81" t="n">
        <x:f>COUNTIFS('岗位清单'!$B$4:$B$53,A6,'岗位清单'!$Z$4:$Z$53,"A")</x:f>
        <x:v>8</x:v>
      </x:c>
      <x:c r="I6" s="81" t="str">
        <x:v>首选：企业Agent/AI交付</x:v>
      </x:c>
      <x:c r="J6" s="81" t="str">
        <x:v>公开高薪与Hybrid样本较多；注意客户交付/猎头用工</x:v>
      </x:c>
    </x:row>
    <x:row r="7" ht="46" customHeight="1">
      <x:c r="A7" s="81" t="str">
        <x:v>深圳</x:v>
      </x:c>
      <x:c r="B7" s="81" t="n">
        <x:f>COUNTIF('岗位清单'!$B$4:$B$53,A7)</x:f>
        <x:v>9</x:v>
      </x:c>
      <x:c r="C7" s="81" t="n">
        <x:f>COUNTIFS('岗位清单'!$B$4:$B$53,A7,'岗位清单'!$AM$4:$AM$53,"S")+COUNTIFS('岗位清单'!$B$4:$B$53,A7,'岗位清单'!$AM$4:$AM$53,"A")</x:f>
        <x:v>7</x:v>
      </x:c>
      <x:c r="D7" s="81" t="n">
        <x:f>COUNTIFS('岗位清单'!$B$4:$B$53,A7,'岗位清单'!$O$4:$O$53,"&gt;0")</x:f>
        <x:v>4</x:v>
      </x:c>
      <x:c r="E7" s="82" t="n">
        <x:f>IF(D7=0,"",SUMIFS('岗位清单'!$O$4:$O$53,'岗位清单'!$B$4:$B$53,A7)/D7)</x:f>
        <x:v>22.895833333333332</x:v>
      </x:c>
      <x:c r="F7" s="81" t="n">
        <x:f>COUNTIFS('岗位清单'!$B$4:$B$53,A7,'岗位清单'!$Q$4:$Q$53,"Hybrid（官方JD明确）")+COUNTIFS('岗位清单'!$B$4:$B$53,A7,'岗位清单'!$Q$4:$Q$53,"部分岗位可远程（需确认该岗）")+COUNTIFS('岗位清单'!$B$4:$B$53,A7,'岗位清单'!$Q$4:$Q$53,"全国远程（项目制）")+COUNTIFS('岗位清单'!$B$4:$B$53,A7,'岗位清单'!$Q$4:$Q$53,"全远程（或北京/上海）")</x:f>
        <x:v>0</x:v>
      </x:c>
      <x:c r="G7" s="81" t="n">
        <x:f>COUNTIFS('岗位清单'!$B$4:$B$53,A7,'岗位清单'!$R$4:$R$53,"&lt;&gt;未披露")</x:f>
        <x:v>1</x:v>
      </x:c>
      <x:c r="H7" s="81" t="n">
        <x:f>COUNTIFS('岗位清单'!$B$4:$B$53,A7,'岗位清单'!$Z$4:$Z$53,"A")</x:f>
        <x:v>2</x:v>
      </x:c>
      <x:c r="I7" s="81" t="str">
        <x:v>首选：Agent后端/终端AI</x:v>
      </x:c>
      <x:c r="J7" s="81" t="str">
        <x:v>工程岗多、薪资跨度大；外包与直招要分清</x:v>
      </x:c>
    </x:row>
    <x:row r="8" ht="46" customHeight="1">
      <x:c r="A8" s="81" t="str">
        <x:v>杭州</x:v>
      </x:c>
      <x:c r="B8" s="81" t="n">
        <x:f>COUNTIF('岗位清单'!$B$4:$B$53,A8)</x:f>
        <x:v>9</x:v>
      </x:c>
      <x:c r="C8" s="81" t="n">
        <x:f>COUNTIFS('岗位清单'!$B$4:$B$53,A8,'岗位清单'!$AM$4:$AM$53,"S")+COUNTIFS('岗位清单'!$B$4:$B$53,A8,'岗位清单'!$AM$4:$AM$53,"A")</x:f>
        <x:v>8</x:v>
      </x:c>
      <x:c r="D8" s="81" t="n">
        <x:f>COUNTIFS('岗位清单'!$B$4:$B$53,A8,'岗位清单'!$O$4:$O$53,"&gt;0")</x:f>
        <x:v>4</x:v>
      </x:c>
      <x:c r="E8" s="82" t="n">
        <x:f>IF(D8=0,"",SUMIFS('岗位清单'!$O$4:$O$53,'岗位清单'!$B$4:$B$53,A8)/D8)</x:f>
        <x:v>27.25</x:v>
      </x:c>
      <x:c r="F8" s="81" t="n">
        <x:f>COUNTIFS('岗位清单'!$B$4:$B$53,A8,'岗位清单'!$Q$4:$Q$53,"Hybrid（官方JD明确）")+COUNTIFS('岗位清单'!$B$4:$B$53,A8,'岗位清单'!$Q$4:$Q$53,"部分岗位可远程（需确认该岗）")+COUNTIFS('岗位清单'!$B$4:$B$53,A8,'岗位清单'!$Q$4:$Q$53,"全国远程（项目制）")+COUNTIFS('岗位清单'!$B$4:$B$53,A8,'岗位清单'!$Q$4:$Q$53,"全远程（或北京/上海）")</x:f>
        <x:v>1</x:v>
      </x:c>
      <x:c r="G8" s="81" t="n">
        <x:f>COUNTIFS('岗位清单'!$B$4:$B$53,A8,'岗位清单'!$R$4:$R$53,"&lt;&gt;未披露")</x:f>
        <x:v>1</x:v>
      </x:c>
      <x:c r="H8" s="81" t="n">
        <x:f>COUNTIFS('岗位清单'!$B$4:$B$53,A8,'岗位清单'!$Z$4:$Z$53,"A")</x:f>
        <x:v>6</x:v>
      </x:c>
      <x:c r="I8" s="81" t="str">
        <x:v>首选：Agent平台/Eval</x:v>
      </x:c>
      <x:c r="J8" s="81" t="str">
        <x:v>与你的Eval/MCP/RAG最密集；大厂和新创并存</x:v>
      </x:c>
    </x:row>
    <x:row r="9" ht="46" customHeight="1">
      <x:c r="A9" s="81" t="str">
        <x:v>成都</x:v>
      </x:c>
      <x:c r="B9" s="81" t="n">
        <x:f>COUNTIF('岗位清单'!$B$4:$B$53,A9)</x:f>
        <x:v>6</x:v>
      </x:c>
      <x:c r="C9" s="81" t="n">
        <x:f>COUNTIFS('岗位清单'!$B$4:$B$53,A9,'岗位清单'!$AM$4:$AM$53,"S")+COUNTIFS('岗位清单'!$B$4:$B$53,A9,'岗位清单'!$AM$4:$AM$53,"A")</x:f>
        <x:v>6</x:v>
      </x:c>
      <x:c r="D9" s="81" t="n">
        <x:f>COUNTIFS('岗位清单'!$B$4:$B$53,A9,'岗位清单'!$O$4:$O$53,"&gt;0")</x:f>
        <x:v>2</x:v>
      </x:c>
      <x:c r="E9" s="82" t="n">
        <x:f>IF(D9=0,"",SUMIFS('岗位清单'!$O$4:$O$53,'岗位清单'!$B$4:$B$53,A9)/D9)</x:f>
        <x:v>16.5</x:v>
      </x:c>
      <x:c r="F9" s="81" t="n">
        <x:f>COUNTIFS('岗位清单'!$B$4:$B$53,A9,'岗位清单'!$Q$4:$Q$53,"Hybrid（官方JD明确）")+COUNTIFS('岗位清单'!$B$4:$B$53,A9,'岗位清单'!$Q$4:$Q$53,"部分岗位可远程（需确认该岗）")+COUNTIFS('岗位清单'!$B$4:$B$53,A9,'岗位清单'!$Q$4:$Q$53,"全国远程（项目制）")+COUNTIFS('岗位清单'!$B$4:$B$53,A9,'岗位清单'!$Q$4:$Q$53,"全远程（或北京/上海）")</x:f>
        <x:v>0</x:v>
      </x:c>
      <x:c r="G9" s="81" t="n">
        <x:f>COUNTIFS('岗位清单'!$B$4:$B$53,A9,'岗位清单'!$R$4:$R$53,"&lt;&gt;未披露")</x:f>
        <x:v>0</x:v>
      </x:c>
      <x:c r="H9" s="81" t="n">
        <x:f>COUNTIFS('岗位清单'!$B$4:$B$53,A9,'岗位清单'!$Z$4:$Z$53,"A")</x:f>
        <x:v>3</x:v>
      </x:c>
      <x:c r="I9" s="81" t="str">
        <x:v>性价比与落地机会</x:v>
      </x:c>
      <x:c r="J9" s="81" t="str">
        <x:v>薪资较低但岗位匹配度高；核验团队规模与长期投入</x:v>
      </x:c>
    </x:row>
    <x:row r="10" ht="46" customHeight="1">
      <x:c r="A10" s="81" t="str">
        <x:v>苏州</x:v>
      </x:c>
      <x:c r="B10" s="81" t="n">
        <x:f>COUNTIF('岗位清单'!$B$4:$B$53,A10)</x:f>
        <x:v>8</x:v>
      </x:c>
      <x:c r="C10" s="81" t="n">
        <x:f>COUNTIFS('岗位清单'!$B$4:$B$53,A10,'岗位清单'!$AM$4:$AM$53,"S")+COUNTIFS('岗位清单'!$B$4:$B$53,A10,'岗位清单'!$AM$4:$AM$53,"A")</x:f>
        <x:v>4</x:v>
      </x:c>
      <x:c r="D10" s="81" t="n">
        <x:f>COUNTIFS('岗位清单'!$B$4:$B$53,A10,'岗位清单'!$O$4:$O$53,"&gt;0")</x:f>
        <x:v>6</x:v>
      </x:c>
      <x:c r="E10" s="82" t="n">
        <x:f>IF(D10=0,"",SUMIFS('岗位清单'!$O$4:$O$53,'岗位清单'!$B$4:$B$53,A10)/D10)</x:f>
        <x:v>18.25</x:v>
      </x:c>
      <x:c r="F10" s="81" t="n">
        <x:f>COUNTIFS('岗位清单'!$B$4:$B$53,A10,'岗位清单'!$Q$4:$Q$53,"Hybrid（官方JD明确）")+COUNTIFS('岗位清单'!$B$4:$B$53,A10,'岗位清单'!$Q$4:$Q$53,"部分岗位可远程（需确认该岗）")+COUNTIFS('岗位清单'!$B$4:$B$53,A10,'岗位清单'!$Q$4:$Q$53,"全国远程（项目制）")+COUNTIFS('岗位清单'!$B$4:$B$53,A10,'岗位清单'!$Q$4:$Q$53,"全远程（或北京/上海）")</x:f>
        <x:v>1</x:v>
      </x:c>
      <x:c r="G10" s="81" t="n">
        <x:f>COUNTIFS('岗位清单'!$B$4:$B$53,A10,'岗位清单'!$R$4:$R$53,"&lt;&gt;未披露")</x:f>
        <x:v>2</x:v>
      </x:c>
      <x:c r="H10" s="81" t="n">
        <x:f>COUNTIFS('岗位清单'!$B$4:$B$53,A10,'岗位清单'!$Z$4:$Z$53,"A")</x:f>
        <x:v>0</x:v>
      </x:c>
      <x:c r="I10" s="81" t="str">
        <x:v>制造/政企/金融AI落地</x:v>
      </x:c>
      <x:c r="J10" s="81" t="str">
        <x:v>岗位薪资分散；多为中小团队或业务内建AI</x:v>
      </x:c>
    </x:row>
    <x:row r="11" ht="46" customHeight="1">
      <x:c r="A11" s="83" t="str">
        <x:v>跨城/远程</x:v>
      </x:c>
      <x:c r="B11" s="83" t="n">
        <x:f>COUNTIF('岗位清单'!$B$4:$B$53,A11)</x:f>
        <x:v>1</x:v>
      </x:c>
      <x:c r="C11" s="83" t="n">
        <x:f>COUNTIFS('岗位清单'!$B$4:$B$53,A11,'岗位清单'!$AM$4:$AM$53,"S")+COUNTIFS('岗位清单'!$B$4:$B$53,A11,'岗位清单'!$AM$4:$AM$53,"A")</x:f>
        <x:v>1</x:v>
      </x:c>
      <x:c r="D11" s="83" t="n">
        <x:f>COUNTIFS('岗位清单'!$B$4:$B$53,A11,'岗位清单'!$O$4:$O$53,"&gt;0")</x:f>
        <x:v>0</x:v>
      </x:c>
      <x:c r="E11" s="84" t="str">
        <x:f>IF(D11=0,"",SUMIFS('岗位清单'!$O$4:$O$53,'岗位清单'!$B$4:$B$53,A11)/D11)</x:f>
      </x:c>
      <x:c r="F11" s="83" t="n">
        <x:f>COUNTIFS('岗位清单'!$B$4:$B$53,A11,'岗位清单'!$Q$4:$Q$53,"Hybrid（官方JD明确）")+COUNTIFS('岗位清单'!$B$4:$B$53,A11,'岗位清单'!$Q$4:$Q$53,"部分岗位可远程（需确认该岗）")+COUNTIFS('岗位清单'!$B$4:$B$53,A11,'岗位清单'!$Q$4:$Q$53,"全国远程（项目制）")+COUNTIFS('岗位清单'!$B$4:$B$53,A11,'岗位清单'!$Q$4:$Q$53,"全远程（或北京/上海）")</x:f>
        <x:v>1</x:v>
      </x:c>
      <x:c r="G11" s="83" t="n">
        <x:f>COUNTIFS('岗位清单'!$B$4:$B$53,A11,'岗位清单'!$R$4:$R$53,"&lt;&gt;未披露")</x:f>
        <x:v>0</x:v>
      </x:c>
      <x:c r="H11" s="83" t="n">
        <x:f>COUNTIFS('岗位清单'!$B$4:$B$53,A11,'岗位清单'!$Z$4:$Z$53,"A")</x:f>
        <x:v>0</x:v>
      </x:c>
      <x:c r="I11" s="83" t="str">
        <x:v>补充观察：远程机会</x:v>
      </x:c>
      <x:c r="J11" s="83" t="str">
        <x:v>北京/上海或全国远程；用工主体与客户项目需重点核验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58" hidden="0" customWidth="1"/>
    <x:col min="4" max="4" width="4" hidden="0" customWidth="1"/>
    <x:col min="5" max="5" width="12" hidden="0" customWidth="1"/>
    <x:col min="6" max="6" width="12" hidden="0" customWidth="1"/>
  </x:cols>
  <x:sheetData>
    <x:row r="1" ht="34" customHeight="1">
      <x:c r="A1" s="20" t="str">
        <x:v>匹配度评分规则（结合刘启仁简历）</x:v>
      </x:c>
      <x:c r="B1" s="20" t="str">
        <x:v>匹配度评分规则（结合刘启仁简历）</x:v>
      </x:c>
      <x:c r="C1" s="20" t="str">
        <x:v>匹配度评分规则（结合刘启仁简历）</x:v>
      </x:c>
      <x:c r="D1" s="20" t="str">
        <x:v>匹配度评分规则（结合刘启仁简历）</x:v>
      </x:c>
      <x:c r="E1" s="20" t="str">
        <x:v>匹配度评分规则（结合刘启仁简历）</x:v>
      </x:c>
      <x:c r="F1" s="20" t="str">
        <x:v>匹配度评分规则（结合刘启仁简历）</x:v>
      </x:c>
    </x:row>
    <x:row r="3">
      <x:c r="A3" s="7" t="str">
        <x:v>维度</x:v>
      </x:c>
      <x:c r="B3" s="8" t="str">
        <x:v>权重</x:v>
      </x:c>
      <x:c r="C3" s="9" t="str">
        <x:v>判定口径</x:v>
      </x:c>
      <x:c r="E3" s="7" t="str">
        <x:v>优先级</x:v>
      </x:c>
      <x:c r="F3" s="9" t="str">
        <x:v>最低分</x:v>
      </x:c>
    </x:row>
    <x:row r="4">
      <x:c r="A4" s="10" t="str">
        <x:v>Agent工程</x:v>
      </x:c>
      <x:c r="B4" s="6" t="n">
        <x:v>20</x:v>
      </x:c>
      <x:c r="C4" s="11" t="str">
        <x:v>规划/执行/记忆/编排/Agent Runtime 与项目直接相关</x:v>
      </x:c>
      <x:c r="E4" s="10" t="str">
        <x:v>S</x:v>
      </x:c>
      <x:c r="F4" s="15" t="n">
        <x:v>90</x:v>
      </x:c>
    </x:row>
    <x:row r="5">
      <x:c r="A5" s="10" t="str">
        <x:v>RAG与检索</x:v>
      </x:c>
      <x:c r="B5" s="6" t="n">
        <x:v>15</x:v>
      </x:c>
      <x:c r="C5" s="11" t="str">
        <x:v>Embedding、混合检索、重排/RRF、知识库、Grounding</x:v>
      </x:c>
      <x:c r="E5" s="10" t="str">
        <x:v>A</x:v>
      </x:c>
      <x:c r="F5" s="15" t="n">
        <x:v>80</x:v>
      </x:c>
    </x:row>
    <x:row r="6">
      <x:c r="A6" s="10" t="str">
        <x:v>后端/全栈</x:v>
      </x:c>
      <x:c r="B6" s="6" t="n">
        <x:v>15</x:v>
      </x:c>
      <x:c r="C6" s="11" t="str">
        <x:v>高并发、微服务、API、SSE、云原生或React全栈</x:v>
      </x:c>
      <x:c r="E6" s="10" t="str">
        <x:v>B</x:v>
      </x:c>
      <x:c r="F6" s="15" t="n">
        <x:v>70</x:v>
      </x:c>
    </x:row>
    <x:row r="7">
      <x:c r="A7" s="10" t="str">
        <x:v>MCP/工具调用</x:v>
      </x:c>
      <x:c r="B7" s="6" t="n">
        <x:v>10</x:v>
      </x:c>
      <x:c r="C7" s="11" t="str">
        <x:v>MCP、Skills、Tool/Function Calling、插件生态</x:v>
      </x:c>
      <x:c r="E7" s="12" t="str">
        <x:v>C</x:v>
      </x:c>
      <x:c r="F7" s="16" t="n">
        <x:v>0</x:v>
      </x:c>
    </x:row>
    <x:row r="8">
      <x:c r="A8" s="10" t="str">
        <x:v>Eval/可观测</x:v>
      </x:c>
      <x:c r="B8" s="6" t="n">
        <x:v>10</x:v>
      </x:c>
      <x:c r="C8" s="11" t="str">
        <x:v>评测、Bad Case、A/B、Trace、监控、数据闭环</x:v>
      </x:c>
    </x:row>
    <x:row r="9">
      <x:c r="A9" s="10" t="str">
        <x:v>年限匹配</x:v>
      </x:c>
      <x:c r="B9" s="6" t="n">
        <x:v>10</x:v>
      </x:c>
      <x:c r="C9" s="11" t="str">
        <x:v>2-5年最匹配；5年以上或3年以内按部分匹配</x:v>
      </x:c>
    </x:row>
    <x:row r="10">
      <x:c r="A10" s="10" t="str">
        <x:v>语言匹配</x:v>
      </x:c>
      <x:c r="B10" s="6" t="n">
        <x:v>10</x:v>
      </x:c>
      <x:c r="C10" s="11" t="str">
        <x:v>Python/JS/Node/C#/Java/Go 与现有能力可迁移性</x:v>
      </x:c>
    </x:row>
    <x:row r="11">
      <x:c r="A11" s="10" t="str">
        <x:v>学历匹配</x:v>
      </x:c>
      <x:c r="B11" s="6" t="n">
        <x:v>5</x:v>
      </x:c>
      <x:c r="C11" s="11" t="str">
        <x:v>本科/硕士满足；博士/论文为硬门槛时折扣</x:v>
      </x:c>
    </x:row>
    <x:row r="12">
      <x:c r="A12" s="12" t="str">
        <x:v>来源/用工透明</x:v>
      </x:c>
      <x:c r="B12" s="13" t="n">
        <x:v>5</x:v>
      </x:c>
      <x:c r="C12" s="14" t="str">
        <x:v>官方直招最高；猎头、外包、项目制折扣</x:v>
      </x:c>
    </x:row>
    <x:row r="14">
      <x:c r="A14" s="18" t="str">
        <x:v>重要说明</x:v>
      </x:c>
      <x:c r="B14" s="18" t="str"/>
      <x:c r="C14" s="18" t="str"/>
      <x:c r="D14" s="18" t="str"/>
      <x:c r="E14" s="18" t="str"/>
      <x:c r="F14" s="18" t="str"/>
    </x:row>
    <x:row r="15">
      <x:c r="A15" s="19" t="str">
        <x:v>1</x:v>
      </x:c>
      <x:c r="B15" s="19" t="str">
        <x:v>分数是岗位与当前简历的匹配度，不等于录用概率；S/A岗也要针对JD改简历。</x:v>
      </x:c>
      <x:c r="C15" s="19" t="str"/>
      <x:c r="D15" s="19" t="str"/>
      <x:c r="E15" s="19" t="str"/>
      <x:c r="F15" s="19" t="str"/>
    </x:row>
    <x:row r="16">
      <x:c r="A16" s="19" t="str">
        <x:v>2</x:v>
      </x:c>
      <x:c r="B16" s="19" t="str">
        <x:v>薪资折算仅用于比较：月薪按公开薪数；未公开薪数时按12个月粗算，不含奖金/股票。</x:v>
      </x:c>
      <x:c r="C16" s="19" t="str"/>
      <x:c r="D16" s="19" t="str"/>
      <x:c r="E16" s="19" t="str"/>
      <x:c r="F16" s="19" t="str"/>
    </x:row>
    <x:row r="17">
      <x:c r="A17" s="19" t="str">
        <x:v>3</x:v>
      </x:c>
      <x:c r="B17" s="19" t="str">
        <x:v>远程、工时与加班只记录公开证据；“未披露”不代表无加班，也不代表可远程。</x:v>
      </x:c>
      <x:c r="C17" s="19" t="str"/>
      <x:c r="D17" s="19" t="str"/>
      <x:c r="E17" s="19" t="str"/>
      <x:c r="F17" s="19" t="str"/>
    </x:row>
    <x:row r="18">
      <x:c r="A18" s="19" t="str">
        <x:v>4</x:v>
      </x:c>
      <x:c r="B18" s="19" t="str">
        <x:v>推荐码/内推渠道若非公司官方均标注需核验；不要付费购买内推。</x:v>
      </x:c>
      <x:c r="C18" s="19" t="str"/>
      <x:c r="D18" s="19" t="str"/>
      <x:c r="E18" s="19" t="str"/>
      <x:c r="F18" s="19" t="str"/>
    </x:row>
  </x:sheetData>
  <x:mergeCells>
    <x:mergeCell ref="A1:F1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22" hidden="0" customWidth="1"/>
    <x:col min="4" max="4" width="31" hidden="0" customWidth="1"/>
    <x:col min="5" max="5" width="30" hidden="0" customWidth="1"/>
    <x:col min="6" max="6" width="18" hidden="0" customWidth="1"/>
    <x:col min="7" max="7" width="16" hidden="0" customWidth="1"/>
    <x:col min="8" max="8" width="24" hidden="0" customWidth="1"/>
  </x:cols>
  <x:sheetData>
    <x:row r="1" ht="34" customHeight="1">
      <x:c r="A1" s="3" t="str">
        <x:v>投递作战｜把微软经历翻译成国内Agent岗位语言</x:v>
      </x:c>
      <x:c r="B1" s="3" t="str">
        <x:v>投递作战｜把微软经历翻译成国内Agent岗位语言</x:v>
      </x:c>
      <x:c r="C1" s="3" t="str">
        <x:v>投递作战｜把微软经历翻译成国内Agent岗位语言</x:v>
      </x:c>
      <x:c r="D1" s="3" t="str">
        <x:v>投递作战｜把微软经历翻译成国内Agent岗位语言</x:v>
      </x:c>
      <x:c r="E1" s="3" t="str">
        <x:v>投递作战｜把微软经历翻译成国内Agent岗位语言</x:v>
      </x:c>
      <x:c r="F1" s="3" t="str">
        <x:v>投递作战｜把微软经历翻译成国内Agent岗位语言</x:v>
      </x:c>
      <x:c r="G1" s="3" t="str">
        <x:v>投递作战｜把微软经历翻译成国内Agent岗位语言</x:v>
      </x:c>
      <x:c r="H1" s="3" t="str">
        <x:v>投递作战｜把微软经历翻译成国内Agent岗位语言</x:v>
      </x:c>
    </x:row>
    <x:row r="3" ht="24" customHeight="1">
      <x:c r="A3" s="87" t="str">
        <x:v>三版简历与适用岗位</x:v>
      </x:c>
      <x:c r="B3" s="87" t="str">
        <x:v>三版简历与适用岗位</x:v>
      </x:c>
      <x:c r="C3" s="87" t="str">
        <x:v>三版简历与适用岗位</x:v>
      </x:c>
      <x:c r="D3" s="87" t="str">
        <x:v>三版简历与适用岗位</x:v>
      </x:c>
      <x:c r="E3" s="87" t="str">
        <x:v>三版简历与适用岗位</x:v>
      </x:c>
      <x:c r="F3" s="87" t="str">
        <x:v>三版简历与适用岗位</x:v>
      </x:c>
      <x:c r="G3" s="87" t="str">
        <x:v>三版简历与适用岗位</x:v>
      </x:c>
      <x:c r="H3" s="87" t="str">
        <x:v>三版简历与适用岗位</x:v>
      </x:c>
    </x:row>
    <x:row r="4">
      <x:c r="A4" s="77" t="str">
        <x:v>版本</x:v>
      </x:c>
      <x:c r="B4" s="77" t="str">
        <x:v>标题</x:v>
      </x:c>
      <x:c r="C4" s="77" t="str">
        <x:v>首屏关键词</x:v>
      </x:c>
      <x:c r="D4" s="77" t="str">
        <x:v>适用岗位</x:v>
      </x:c>
      <x:c r="E4" s="77" t="str">
        <x:v>必须前置的项目证据</x:v>
      </x:c>
      <x:c r="F4" s="77" t="str">
        <x:v>弱化内容</x:v>
      </x:c>
      <x:c r="G4" s="77" t="str">
        <x:v>建议文件名</x:v>
      </x:c>
      <x:c r="H4" s="77" t="str">
        <x:v>备注</x:v>
      </x:c>
    </x:row>
    <x:row r="5" ht="60" customHeight="1">
      <x:c r="A5" s="19" t="str">
        <x:v>A</x:v>
      </x:c>
      <x:c r="B5" s="19" t="str">
        <x:v>Agent平台/后端工程师</x:v>
      </x:c>
      <x:c r="C5" s="19" t="str">
        <x:v>Agent Runtime、RAG、MCP、Eval、SSE、K8s、高可用</x:v>
      </x:c>
      <x:c r="D5" s="19" t="str">
        <x:v>京东/百度/字节/超图/阿里云</x:v>
      </x:c>
      <x:c r="E5" s="19" t="str">
        <x:v>Evidence Gate、MCP 6工具、75-case评测、性能与稳定性</x:v>
      </x:c>
      <x:c r="F5" s="19" t="str">
        <x:v>模型训练论文</x:v>
      </x:c>
      <x:c r="G5" s="19" t="str">
        <x:v>刘启仁_AI_Agent平台后端.pdf</x:v>
      </x:c>
      <x:c r="H5" s="19" t="str">
        <x:v>主投版本</x:v>
      </x:c>
    </x:row>
    <x:row r="6" ht="60" customHeight="1">
      <x:c r="A6" s="19" t="str">
        <x:v>B</x:v>
      </x:c>
      <x:c r="B6" s="19" t="str">
        <x:v>RAG/大模型应用工程师</x:v>
      </x:c>
      <x:c r="C6" s="19" t="str">
        <x:v>Hybrid Retrieval、RRF、Grounding、Rerank、LLMOps</x:v>
      </x:c>
      <x:c r="D6" s="19" t="str">
        <x:v>海康/云从/上海AI Lab/任仕达医药</x:v>
      </x:c>
      <x:c r="E6" s="19" t="str">
        <x:v>10k commit索引、一致性契约、Recall@10/MRR/nDCG/ECE</x:v>
      </x:c>
      <x:c r="F6" s="19" t="str">
        <x:v>纯UI经历</x:v>
      </x:c>
      <x:c r="G6" s="19" t="str">
        <x:v>刘启仁_RAG大模型应用.pdf</x:v>
      </x:c>
      <x:c r="H6" s="19" t="str">
        <x:v>算法应用岗</x:v>
      </x:c>
    </x:row>
    <x:row r="7" ht="60" customHeight="1">
      <x:c r="A7" s="19" t="str">
        <x:v>C</x:v>
      </x:c>
      <x:c r="B7" s="19" t="str">
        <x:v>AI全栈/企业交付</x:v>
      </x:c>
      <x:c r="C7" s="19" t="str">
        <x:v>React、Node/Python、API、SSE、Agent工作流、云原生</x:v>
      </x:c>
      <x:c r="D7" s="19" t="str">
        <x:v>埃森哲/瓴羊/KHB/网洋/绿联</x:v>
      </x:c>
      <x:c r="E7" s="19" t="str">
        <x:v>端到端产品交付、跨团队、490+生产合并、P95优化</x:v>
      </x:c>
      <x:c r="F7" s="19" t="str">
        <x:v>过深检索公式细节</x:v>
      </x:c>
      <x:c r="G7" s="19" t="str">
        <x:v>刘启仁_AI全栈Agent.pdf</x:v>
      </x:c>
      <x:c r="H7" s="19" t="str">
        <x:v>客户交付岗</x:v>
      </x:c>
    </x:row>
    <x:row r="9" ht="24" customHeight="1">
      <x:c r="A9" s="87" t="str">
        <x:v>面试开场（可直接改写）</x:v>
      </x:c>
      <x:c r="B9" s="87" t="str">
        <x:v>面试开场（可直接改写）</x:v>
      </x:c>
      <x:c r="C9" s="87" t="str">
        <x:v>面试开场（可直接改写）</x:v>
      </x:c>
      <x:c r="D9" s="87" t="str">
        <x:v>面试开场（可直接改写）</x:v>
      </x:c>
      <x:c r="E9" s="87" t="str">
        <x:v>面试开场（可直接改写）</x:v>
      </x:c>
      <x:c r="F9" s="87" t="str">
        <x:v>面试开场（可直接改写）</x:v>
      </x:c>
      <x:c r="G9" s="87" t="str">
        <x:v>面试开场（可直接改写）</x:v>
      </x:c>
      <x:c r="H9" s="87" t="str">
        <x:v>面试开场（可直接改写）</x:v>
      </x:c>
    </x:row>
    <x:row r="10">
      <x:c r="A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B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C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D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E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F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G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H10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</x:row>
    <x:row r="11">
      <x:c r="A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B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C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D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E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F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G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H11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</x:row>
    <x:row r="12">
      <x:c r="A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B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C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D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E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F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G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  <x:c r="H12" s="94" t="str">
        <x:v>我有4年微软广告生产系统经验，最近的核心工作是把历史变更检索做成一个可审计的Agent系统。它不是简单向量搜索：我组合了精确命中、FTS、Dense和多查询召回，用RRF融合，再通过Evidence Gate决定回答、拒答或澄清；同时用75个版本化用例和可观测trace做回归。这个项目让我最擅长的是把模型的不确定性变成可测试、可监控、可上线的工程系统。</x:v>
      </x:c>
    </x:row>
    <x:row r="14" ht="24" customHeight="1">
      <x:c r="A14" s="87" t="str">
        <x:v>高频缺口与两周补强</x:v>
      </x:c>
      <x:c r="B14" s="87" t="str">
        <x:v>高频缺口与两周补强</x:v>
      </x:c>
      <x:c r="C14" s="87" t="str">
        <x:v>高频缺口与两周补强</x:v>
      </x:c>
      <x:c r="D14" s="87" t="str">
        <x:v>高频缺口与两周补强</x:v>
      </x:c>
      <x:c r="E14" s="87" t="str">
        <x:v>高频缺口与两周补强</x:v>
      </x:c>
      <x:c r="F14" s="87" t="str">
        <x:v>高频缺口与两周补强</x:v>
      </x:c>
      <x:c r="G14" s="87" t="str">
        <x:v>高频缺口与两周补强</x:v>
      </x:c>
      <x:c r="H14" s="87" t="str">
        <x:v>高频缺口与两周补强</x:v>
      </x:c>
    </x:row>
    <x:row r="15">
      <x:c r="A15" s="77" t="str">
        <x:v>缺口</x:v>
      </x:c>
      <x:c r="B15" s="77" t="str">
        <x:v>为什么重要</x:v>
      </x:c>
      <x:c r="C15" s="77" t="str">
        <x:v>两周最小补强</x:v>
      </x:c>
      <x:c r="D15" s="77" t="str">
        <x:v>可交付证据</x:v>
      </x:c>
      <x:c r="E15" s="77" t="str">
        <x:v>优先级</x:v>
      </x:c>
      <x:c r="F15" s="77" t="str">
        <x:v>适用岗位</x:v>
      </x:c>
      <x:c r="G15" s="77" t="str">
        <x:v>完成状态</x:v>
      </x:c>
      <x:c r="H15" s="77" t="str">
        <x:v>备注</x:v>
      </x:c>
    </x:row>
    <x:row r="16" ht="54" customHeight="1">
      <x:c r="A16" s="19" t="str">
        <x:v>Python/FastAPI生产感</x:v>
      </x:c>
      <x:c r="B16" s="19" t="str">
        <x:v>国内Agent岗高频</x:v>
      </x:c>
      <x:c r="C16" s="19" t="str">
        <x:v>把MCP服务补一个FastAPI版本；含async/SSE/超时/重试</x:v>
      </x:c>
      <x:c r="D16" s="19" t="str">
        <x:v>GitHub仓库+README+压测</x:v>
      </x:c>
      <x:c r="E16" s="19" t="str">
        <x:v>S</x:v>
      </x:c>
      <x:c r="F16" s="19" t="str">
        <x:v>大多数应用岗</x:v>
      </x:c>
      <x:c r="G16" s="19" t="str">
        <x:v>未开始</x:v>
      </x:c>
      <x:c r="H16" s="19" t="str"/>
    </x:row>
    <x:row r="17" ht="54" customHeight="1">
      <x:c r="A17" s="19" t="str">
        <x:v>LangGraph显式经历</x:v>
      </x:c>
      <x:c r="B17" s="19" t="str">
        <x:v>JD常按框架筛选</x:v>
      </x:c>
      <x:c r="C17" s="19" t="str">
        <x:v>复刻当前有界Agent loop为LangGraph状态图</x:v>
      </x:c>
      <x:c r="D17" s="19" t="str">
        <x:v>架构图+trace+3个bad case</x:v>
      </x:c>
      <x:c r="E17" s="19" t="str">
        <x:v>S</x:v>
      </x:c>
      <x:c r="F17" s="19" t="str">
        <x:v>字节/埃森哲/瓴羊</x:v>
      </x:c>
      <x:c r="G17" s="19" t="str">
        <x:v>未开始</x:v>
      </x:c>
      <x:c r="H17" s="19" t="str"/>
    </x:row>
    <x:row r="18" ht="54" customHeight="1">
      <x:c r="A18" s="19" t="str">
        <x:v>PyTorch/微调/vLLM</x:v>
      </x:c>
      <x:c r="B18" s="19" t="str">
        <x:v>算法应用岗常见</x:v>
      </x:c>
      <x:c r="C18" s="19" t="str">
        <x:v>跑通一个Qwen小模型LoRA与vLLM部署，不追求大规模</x:v>
      </x:c>
      <x:c r="D18" s="19" t="str">
        <x:v>实验记录+吞吐/成本表</x:v>
      </x:c>
      <x:c r="E18" s="19" t="str">
        <x:v>A</x:v>
      </x:c>
      <x:c r="F18" s="19" t="str">
        <x:v>上海AI Lab/云从/运达</x:v>
      </x:c>
      <x:c r="G18" s="19" t="str">
        <x:v>未开始</x:v>
      </x:c>
      <x:c r="H18" s="19" t="str"/>
    </x:row>
    <x:row r="19" ht="54" customHeight="1">
      <x:c r="A19" s="19" t="str">
        <x:v>Java/Go迁移叙事</x:v>
      </x:c>
      <x:c r="B19" s="19" t="str">
        <x:v>阿里/字节/京东高频</x:v>
      </x:c>
      <x:c r="C19" s="19" t="str">
        <x:v>准备C#→Java/Go系统设计映射，不必临时重写所有代码</x:v>
      </x:c>
      <x:c r="D19" s="19" t="str">
        <x:v>一页技术迁移表</x:v>
      </x:c>
      <x:c r="E19" s="19" t="str">
        <x:v>A</x:v>
      </x:c>
      <x:c r="F19" s="19" t="str">
        <x:v>阿里/字节/京东</x:v>
      </x:c>
      <x:c r="G19" s="19" t="str">
        <x:v>未开始</x:v>
      </x:c>
      <x:c r="H19" s="19" t="str"/>
    </x:row>
    <x:row r="20" ht="54" customHeight="1">
      <x:c r="A20" s="19" t="str">
        <x:v>公开作品/影响力</x:v>
      </x:c>
      <x:c r="B20" s="19" t="str">
        <x:v>大厂专家岗加分</x:v>
      </x:c>
      <x:c r="C20" s="19" t="str">
        <x:v>清理可公开React Commit数据，发布技术文章</x:v>
      </x:c>
      <x:c r="D20" s="19" t="str">
        <x:v>仓库+文章+指标复现</x:v>
      </x:c>
      <x:c r="E20" s="19" t="str">
        <x:v>A</x:v>
      </x:c>
      <x:c r="F20" s="19" t="str">
        <x:v>专家/研究型岗位</x:v>
      </x:c>
      <x:c r="G20" s="19" t="str">
        <x:v>未开始</x:v>
      </x:c>
      <x:c r="H20" s="19" t="str"/>
    </x:row>
    <x:row r="22" ht="24" customHeight="1">
      <x:c r="A22" s="87" t="str">
        <x:v>面试必须核验（尤其远程、加班、用工与薪酬）</x:v>
      </x:c>
      <x:c r="B22" s="87" t="str">
        <x:v>面试必须核验（尤其远程、加班、用工与薪酬）</x:v>
      </x:c>
      <x:c r="C22" s="87" t="str">
        <x:v>面试必须核验（尤其远程、加班、用工与薪酬）</x:v>
      </x:c>
      <x:c r="D22" s="87" t="str">
        <x:v>面试必须核验（尤其远程、加班、用工与薪酬）</x:v>
      </x:c>
      <x:c r="E22" s="87" t="str">
        <x:v>面试必须核验（尤其远程、加班、用工与薪酬）</x:v>
      </x:c>
      <x:c r="F22" s="87" t="str">
        <x:v>面试必须核验（尤其远程、加班、用工与薪酬）</x:v>
      </x:c>
      <x:c r="G22" s="87" t="str">
        <x:v>面试必须核验（尤其远程、加班、用工与薪酬）</x:v>
      </x:c>
      <x:c r="H22" s="87" t="str">
        <x:v>面试必须核验（尤其远程、加班、用工与薪酬）</x:v>
      </x:c>
    </x:row>
    <x:row r="23">
      <x:c r="A23" s="77" t="str">
        <x:v>主题</x:v>
      </x:c>
      <x:c r="B23" s="77" t="str">
        <x:v>直接问法</x:v>
      </x:c>
      <x:c r="C23" s="77" t="str">
        <x:v>理想信号</x:v>
      </x:c>
      <x:c r="D23" s="77" t="str">
        <x:v>风险信号</x:v>
      </x:c>
      <x:c r="E23" s="77" t="str">
        <x:v>记录</x:v>
      </x:c>
      <x:c r="F23" s="19" t="str"/>
      <x:c r="G23" s="19" t="str"/>
      <x:c r="H23" s="19" t="str"/>
    </x:row>
    <x:row r="24" ht="48" customHeight="1">
      <x:c r="A24" s="19" t="str">
        <x:v>工时/加班</x:v>
      </x:c>
      <x:c r="B24" s="19" t="str">
        <x:v>过去3个月团队一般几点下班？周末发布/值班频率？</x:v>
      </x:c>
      <x:c r="C24" s="19" t="str">
        <x:v>有明确on-call补偿和发布制度</x:v>
      </x:c>
      <x:c r="D24" s="19" t="str">
        <x:v>只说“看业务/奋斗者”且拒绝给频率</x:v>
      </x:c>
      <x:c r="E24" s="19" t="str"/>
      <x:c r="F24" s="19" t="str"/>
      <x:c r="G24" s="19" t="str"/>
      <x:c r="H24" s="19" t="str"/>
    </x:row>
    <x:row r="25" ht="48" customHeight="1">
      <x:c r="A25" s="19" t="str">
        <x:v>远程</x:v>
      </x:c>
      <x:c r="B25" s="19" t="str">
        <x:v>试用期后每周可远程几天？是否写入offer/制度？</x:v>
      </x:c>
      <x:c r="C25" s="19" t="str">
        <x:v>书面Hybrid政策</x:v>
      </x:c>
      <x:c r="D25" s="19" t="str">
        <x:v>口头承诺、随时可取消</x:v>
      </x:c>
      <x:c r="E25" s="19" t="str"/>
      <x:c r="F25" s="19" t="str"/>
      <x:c r="G25" s="19" t="str"/>
      <x:c r="H25" s="19" t="str"/>
    </x:row>
    <x:row r="26" ht="48" customHeight="1">
      <x:c r="A26" s="19" t="str">
        <x:v>用工主体</x:v>
      </x:c>
      <x:c r="B26" s="19" t="str">
        <x:v>劳动合同、社保、公积金分别由谁缴？客户方还是外包方？</x:v>
      </x:c>
      <x:c r="C26" s="19" t="str">
        <x:v>主体一致、福利透明</x:v>
      </x:c>
      <x:c r="D26" s="19" t="str">
        <x:v>多层转包或驻场无转正路径</x:v>
      </x:c>
      <x:c r="E26" s="19" t="str"/>
      <x:c r="F26" s="19" t="str"/>
      <x:c r="G26" s="19" t="str"/>
      <x:c r="H26" s="19" t="str"/>
    </x:row>
    <x:row r="27" ht="48" customHeight="1">
      <x:c r="A27" s="19" t="str">
        <x:v>工作内容</x:v>
      </x:c>
      <x:c r="B27" s="19" t="str">
        <x:v>Agent核心研发、业务集成、PoC交付各占多少？</x:v>
      </x:c>
      <x:c r="C27" s="19" t="str">
        <x:v>核心平台有长期路线图</x:v>
      </x:c>
      <x:c r="D27" s="19" t="str">
        <x:v>长期驻场/纯Prompt配置</x:v>
      </x:c>
      <x:c r="E27" s="19" t="str"/>
      <x:c r="F27" s="19" t="str"/>
      <x:c r="G27" s="19" t="str"/>
      <x:c r="H27" s="19" t="str"/>
    </x:row>
    <x:row r="28" ht="48" customHeight="1">
      <x:c r="A28" s="19" t="str">
        <x:v>效果指标</x:v>
      </x:c>
      <x:c r="B28" s="19" t="str">
        <x:v>Agent以什么指标验收？是否有离线Eval与线上trace？</x:v>
      </x:c>
      <x:c r="C28" s="19" t="str">
        <x:v>任务成功率/成本/延迟/可靠性闭环</x:v>
      </x:c>
      <x:c r="D28" s="19" t="str">
        <x:v>只看demo主观效果</x:v>
      </x:c>
      <x:c r="E28" s="19" t="str"/>
      <x:c r="F28" s="19" t="str"/>
      <x:c r="G28" s="19" t="str"/>
      <x:c r="H28" s="19" t="str"/>
    </x:row>
    <x:row r="29" ht="48" customHeight="1">
      <x:c r="A29" s="19" t="str">
        <x:v>薪酬</x:v>
      </x:c>
      <x:c r="B29" s="19" t="str">
        <x:v>月薪×几薪？奖金保证/目标值？股票归属？试用期折扣？</x:v>
      </x:c>
      <x:c r="C29" s="19" t="str">
        <x:v>结构、发放条件明确</x:v>
      </x:c>
      <x:c r="D29" s="19" t="str">
        <x:v>只报“总包”不拆结构</x:v>
      </x:c>
      <x:c r="E29" s="19" t="str"/>
      <x:c r="F29" s="19" t="str"/>
      <x:c r="G29" s="19" t="str"/>
      <x:c r="H29" s="19" t="str"/>
    </x:row>
    <x:row r="30" ht="48" customHeight="1">
      <x:c r="A30" s="19" t="str">
        <x:v>HC稳定性</x:v>
      </x:c>
      <x:c r="B30" s="19" t="str">
        <x:v>该HC新增还是补招？Agent项目预算与负责人是谁？</x:v>
      </x:c>
      <x:c r="C30" s="19" t="str">
        <x:v>新增预算、负责人清晰</x:v>
      </x:c>
      <x:c r="D30" s="19" t="str">
        <x:v>项目制临时HC/频繁换方向</x:v>
      </x:c>
      <x:c r="E30" s="19" t="str"/>
      <x:c r="F30" s="19" t="str"/>
      <x:c r="G30" s="19" t="str"/>
      <x:c r="H30" s="19" t="str"/>
    </x:row>
    <x:row r="32" ht="24" customHeight="1">
      <x:c r="A32" s="87" t="str">
        <x:v>两周投递节奏</x:v>
      </x:c>
      <x:c r="B32" s="87" t="str">
        <x:v>两周投递节奏</x:v>
      </x:c>
      <x:c r="C32" s="87" t="str">
        <x:v>两周投递节奏</x:v>
      </x:c>
      <x:c r="D32" s="87" t="str">
        <x:v>两周投递节奏</x:v>
      </x:c>
      <x:c r="E32" s="87" t="str">
        <x:v>两周投递节奏</x:v>
      </x:c>
      <x:c r="F32" s="87" t="str">
        <x:v>两周投递节奏</x:v>
      </x:c>
      <x:c r="G32" s="87" t="str">
        <x:v>两周投递节奏</x:v>
      </x:c>
      <x:c r="H32" s="87" t="str">
        <x:v>两周投递节奏</x:v>
      </x:c>
    </x:row>
    <x:row r="33">
      <x:c r="A33" s="77" t="str">
        <x:v>时间</x:v>
      </x:c>
      <x:c r="B33" s="77" t="str">
        <x:v>动作</x:v>
      </x:c>
      <x:c r="C33" s="77" t="str">
        <x:v>数量</x:v>
      </x:c>
      <x:c r="D33" s="77" t="str">
        <x:v>目标</x:v>
      </x:c>
      <x:c r="E33" s="77" t="str">
        <x:v>输出</x:v>
      </x:c>
      <x:c r="F33" s="19" t="str"/>
      <x:c r="G33" s="19" t="str"/>
      <x:c r="H33" s="19" t="str"/>
    </x:row>
    <x:row r="34" ht="45" customHeight="1">
      <x:c r="A34" s="19" t="str">
        <x:v>第1-2天</x:v>
      </x:c>
      <x:c r="B34" s="19" t="str">
        <x:v>完成A版简历；先投截止8/31及Top S级</x:v>
      </x:c>
      <x:c r="C34" s="19" t="str">
        <x:v>8-10</x:v>
      </x:c>
      <x:c r="D34" s="19" t="str">
        <x:v>拿到首批反馈</x:v>
      </x:c>
      <x:c r="E34" s="19" t="str">
        <x:v>岗位-简历版本映射</x:v>
      </x:c>
      <x:c r="F34" s="19" t="str"/>
      <x:c r="G34" s="19" t="str"/>
      <x:c r="H34" s="19" t="str"/>
    </x:row>
    <x:row r="35" ht="45" customHeight="1">
      <x:c r="A35" s="19" t="str">
        <x:v>第3-5天</x:v>
      </x:c>
      <x:c r="B35" s="19" t="str">
        <x:v>补B/C版；通过微软前同事、电子科大校友、LinkedIn/脉脉找二度人脉</x:v>
      </x:c>
      <x:c r="C35" s="19" t="str">
        <x:v>10-12</x:v>
      </x:c>
      <x:c r="D35" s="19" t="str">
        <x:v>争取内推或招聘经理直连</x:v>
      </x:c>
      <x:c r="E35" s="19" t="str">
        <x:v>30秒自我介绍+项目链接</x:v>
      </x:c>
      <x:c r="F35" s="19" t="str"/>
      <x:c r="G35" s="19" t="str"/>
      <x:c r="H35" s="19" t="str"/>
    </x:row>
    <x:row r="36" ht="45" customHeight="1">
      <x:c r="A36" s="19" t="str">
        <x:v>第1周末</x:v>
      </x:c>
      <x:c r="B36" s="19" t="str">
        <x:v>复盘投递转化；无回复的岗位改标题/关键词</x:v>
      </x:c>
      <x:c r="C36" s="19" t="str">
        <x:v>全部</x:v>
      </x:c>
      <x:c r="D36" s="19" t="str">
        <x:v>简历打开率与约面率提升</x:v>
      </x:c>
      <x:c r="E36" s="19" t="str">
        <x:v>转化漏斗</x:v>
      </x:c>
      <x:c r="F36" s="19" t="str"/>
      <x:c r="G36" s="19" t="str"/>
      <x:c r="H36" s="19" t="str"/>
    </x:row>
    <x:row r="37" ht="45" customHeight="1">
      <x:c r="A37" s="19" t="str">
        <x:v>第2周</x:v>
      </x:c>
      <x:c r="B37" s="19" t="str">
        <x:v>完成FastAPI+LangGraph公开Demo；第二轮投递</x:v>
      </x:c>
      <x:c r="C37" s="19" t="str">
        <x:v>12-15</x:v>
      </x:c>
      <x:c r="D37" s="19" t="str">
        <x:v>用新作品补框架筛选</x:v>
      </x:c>
      <x:c r="E37" s="19" t="str">
        <x:v>GitHub+技术文章</x:v>
      </x:c>
      <x:c r="F37" s="19" t="str"/>
      <x:c r="G37" s="19" t="str"/>
      <x:c r="H37" s="19" t="str"/>
    </x:row>
    <x:row r="38" ht="45" customHeight="1">
      <x:c r="A38" s="19" t="str">
        <x:v>持续</x:v>
      </x:c>
      <x:c r="B38" s="19" t="str">
        <x:v>每次面试后24小时内补问题库和项目证据</x:v>
      </x:c>
      <x:c r="C38" s="19" t="str">
        <x:v>每场</x:v>
      </x:c>
      <x:c r="D38" s="19" t="str">
        <x:v>形成可复用面试资产</x:v>
      </x:c>
      <x:c r="E38" s="19" t="str">
        <x:v>STAR答案库</x:v>
      </x:c>
      <x:c r="F38" s="19" t="str"/>
      <x:c r="G38" s="19" t="str"/>
      <x:c r="H38" s="19" t="str"/>
    </x:row>
  </x:sheetData>
  <x:mergeCells>
    <x:mergeCell ref="A1:H1"/>
    <x:mergeCell ref="A3:H3"/>
    <x:mergeCell ref="A9:H9"/>
    <x:mergeCell ref="A10:H12"/>
    <x:mergeCell ref="A14:H14"/>
    <x:mergeCell ref="A22:H22"/>
    <x:mergeCell ref="F23:H23"/>
    <x:mergeCell ref="F24:H24"/>
    <x:mergeCell ref="F25:H25"/>
    <x:mergeCell ref="F26:H26"/>
    <x:mergeCell ref="F27:H27"/>
    <x:mergeCell ref="F28:H28"/>
    <x:mergeCell ref="F29:H29"/>
    <x:mergeCell ref="F30:H30"/>
    <x:mergeCell ref="A32:H32"/>
    <x:mergeCell ref="F33:H33"/>
    <x:mergeCell ref="F34:H34"/>
    <x:mergeCell ref="F35:H35"/>
    <x:mergeCell ref="F36:H36"/>
    <x:mergeCell ref="F37:H37"/>
    <x:mergeCell ref="F38:H38"/>
  </x:mergeCells>
  <x:dataValidations count="1">
    <x:dataValidation type="list" sqref="G16:G20">
      <x:formula1>"未开始,进行中,已完成,跳过"</x:formula1>
    </x:dataValidation>
  </x:dataValidations>
  <x:pageMargins left="0.7" right="0.7" top="0.75" bottom="0.75" header="0.3" footer="0.3"/>
</x:worksheet>
</file>